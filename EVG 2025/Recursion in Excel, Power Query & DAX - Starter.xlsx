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https://sumproduct0-my.sharepoint.com/personal/talia_cao_sumproduct_com/Documents/Documents/Talia/EVG/EVG2025/"/>
    </mc:Choice>
  </mc:AlternateContent>
  <xr:revisionPtr revIDLastSave="53" documentId="8_{DA613939-B92D-4AC6-976A-6A869B96E0D1}" xr6:coauthVersionLast="47" xr6:coauthVersionMax="47" xr10:uidLastSave="{37532795-42B5-433A-9EF4-285C4A6932C0}"/>
  <bookViews>
    <workbookView xWindow="-120" yWindow="-120" windowWidth="29040" windowHeight="15720" xr2:uid="{C0BEADF7-2B49-4F82-A6A3-8699B790B2C1}"/>
  </bookViews>
  <sheets>
    <sheet name="Cover" sheetId="8" r:id="rId1"/>
    <sheet name="1. RT" sheetId="3" r:id="rId2"/>
    <sheet name="2. Cumulative %" sheetId="5" r:id="rId3"/>
    <sheet name="3. EMA" sheetId="10" r:id="rId4"/>
    <sheet name="4. SMA Forecast" sheetId="7" r:id="rId5"/>
  </sheets>
  <definedNames>
    <definedName name="_xlcn.WorksheetConnection_PQCumulativePPI.xlsxPPI_5" hidden="1">Actuals</definedName>
    <definedName name="EMA_0">'3. EMA'!$K$6</definedName>
    <definedName name="EMA_a">'3. EMA'!$K$5</definedName>
    <definedName name="EMA_N">'3. EMA'!$K$4</definedName>
    <definedName name="MovAvg_Fcst">'4. SMA Forecast'!$D$6</definedName>
    <definedName name="MovAvg_Window">'4. SMA Forecast'!$D$5</definedName>
  </definedNames>
  <calcPr calcId="191029" calcOnSave="0"/>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PI_5" name="PPI_5" connection="WorksheetConnection_PQ - Cumulative PPI.xlsx!PPI_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7" l="1"/>
  <c r="F22" i="7"/>
  <c r="M6" i="10"/>
  <c r="D23" i="7"/>
  <c r="J31" i="10"/>
  <c r="H27" i="10"/>
  <c r="G21" i="3"/>
  <c r="E17" i="5"/>
  <c r="M5" i="10"/>
  <c r="C22" i="7"/>
  <c r="G23" i="7"/>
  <c r="G21" i="5"/>
  <c r="F19" i="5"/>
  <c r="F19" i="3"/>
  <c r="E17" i="3"/>
  <c r="I29" i="10"/>
  <c r="O13" i="10" l="1"/>
  <c r="O14" i="10"/>
  <c r="O15" i="10"/>
  <c r="O16" i="10"/>
  <c r="O17" i="10"/>
  <c r="O18" i="10"/>
  <c r="O19" i="10"/>
  <c r="O20" i="10"/>
  <c r="O21" i="10"/>
  <c r="O22" i="10"/>
  <c r="O23" i="10"/>
  <c r="O24" i="10"/>
  <c r="O25" i="10"/>
  <c r="O12" i="10"/>
  <c r="Q12" i="10" s="1"/>
  <c r="Q20" i="10" l="1"/>
  <c r="Q23" i="10"/>
  <c r="Q22" i="10"/>
  <c r="Q21" i="10"/>
  <c r="Q19" i="10"/>
  <c r="Q14" i="10"/>
  <c r="Q13" i="10"/>
  <c r="Q25" i="10"/>
  <c r="Q24" i="10"/>
  <c r="Q18" i="10"/>
  <c r="Q17" i="10"/>
  <c r="Q16" i="10"/>
  <c r="Q15" i="10"/>
  <c r="P12" i="10" l="1"/>
  <c r="P13" i="10" l="1"/>
  <c r="P14" i="10" l="1"/>
  <c r="P15" i="10" l="1"/>
  <c r="P16" i="10" l="1"/>
  <c r="P17" i="10" l="1"/>
  <c r="P18" i="10" l="1"/>
  <c r="P19" i="10" l="1"/>
  <c r="P20" i="10" l="1"/>
  <c r="P21" i="10" l="1"/>
  <c r="P22" i="10" l="1"/>
  <c r="P23" i="10" l="1"/>
  <c r="P25" i="10" l="1"/>
  <c r="P2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A0972-2CCA-41D9-A61E-5E0CE02816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B361E2-09E3-4791-8E6A-6E2E16581F8A}" name="WorksheetConnection_PQ - Cumulative PPI.xlsx!PPI_5" type="102" refreshedVersion="8" minRefreshableVersion="5">
    <extLst>
      <ext xmlns:x15="http://schemas.microsoft.com/office/spreadsheetml/2010/11/main" uri="{DE250136-89BD-433C-8126-D09CA5730AF9}">
        <x15:connection id="PPI_5">
          <x15:rangePr sourceName="_xlcn.WorksheetConnection_PQCumulativePPI.xlsxPPI_5"/>
        </x15:connection>
      </ext>
    </extLst>
  </connection>
</connections>
</file>

<file path=xl/sharedStrings.xml><?xml version="1.0" encoding="utf-8"?>
<sst xmlns="http://schemas.openxmlformats.org/spreadsheetml/2006/main" count="58" uniqueCount="45">
  <si>
    <t>Value</t>
  </si>
  <si>
    <t>Formula</t>
  </si>
  <si>
    <t>Power Query &gt;</t>
  </si>
  <si>
    <t>Running Total</t>
  </si>
  <si>
    <t>Cumulative %</t>
  </si>
  <si>
    <t>DA</t>
  </si>
  <si>
    <t>DAX</t>
  </si>
  <si>
    <t>Power Query</t>
  </si>
  <si>
    <t>Fast method - List.Accumulate</t>
  </si>
  <si>
    <t>Fast method - List.Generate</t>
  </si>
  <si>
    <t>Slow method - List.FirstN</t>
  </si>
  <si>
    <t>Date</t>
  </si>
  <si>
    <t>Forecast Periods</t>
  </si>
  <si>
    <t>Window</t>
  </si>
  <si>
    <t>www.sumproduct.com</t>
  </si>
  <si>
    <t>Website</t>
  </si>
  <si>
    <t>talia.cao@sumproduct.com</t>
  </si>
  <si>
    <t>Email</t>
  </si>
  <si>
    <t>www.linkedin.com/in/caongocdathao/</t>
  </si>
  <si>
    <t>LinkedIn</t>
  </si>
  <si>
    <t>Contact Details:</t>
  </si>
  <si>
    <t>Outline:</t>
  </si>
  <si>
    <t>Talia Cao - Manager, SumProduct</t>
  </si>
  <si>
    <t>Presenter:</t>
  </si>
  <si>
    <t>Session:</t>
  </si>
  <si>
    <t>Exponential Moving Average (EMA)</t>
  </si>
  <si>
    <t>Sales</t>
  </si>
  <si>
    <r>
      <t xml:space="preserve">where </t>
    </r>
    <r>
      <rPr>
        <i/>
        <sz val="10"/>
        <color theme="1"/>
        <rFont val="Times New Roman"/>
        <family val="1"/>
      </rPr>
      <t>α</t>
    </r>
    <r>
      <rPr>
        <sz val="10"/>
        <color theme="1"/>
        <rFont val="Aptos Narrow"/>
        <family val="2"/>
        <scheme val="minor"/>
      </rPr>
      <t xml:space="preserve"> is the weight applied to the current observation.</t>
    </r>
  </si>
  <si>
    <r>
      <rPr>
        <i/>
        <sz val="10"/>
        <color theme="1"/>
        <rFont val="Times New Roman"/>
        <family val="1"/>
      </rPr>
      <t>N</t>
    </r>
    <r>
      <rPr>
        <sz val="10"/>
        <color theme="1"/>
        <rFont val="Aptos Narrow"/>
        <family val="2"/>
        <scheme val="minor"/>
      </rPr>
      <t xml:space="preserve"> is the effective span of the EMA that is about the same as an N-day Simple Moving Average (SMA).</t>
    </r>
  </si>
  <si>
    <t>Simple Moving Average (SMA) Forecast</t>
  </si>
  <si>
    <t>t</t>
  </si>
  <si>
    <t>SMA</t>
  </si>
  <si>
    <t>EMA</t>
  </si>
  <si>
    <t>EMA_N</t>
  </si>
  <si>
    <t>EMA_a</t>
  </si>
  <si>
    <t>EMA_0</t>
  </si>
  <si>
    <t>Demo 1</t>
  </si>
  <si>
    <t>Demo 2</t>
  </si>
  <si>
    <t>Demo 3</t>
  </si>
  <si>
    <t>Demo 4</t>
  </si>
  <si>
    <r>
      <rPr>
        <i/>
        <sz val="9"/>
        <color theme="1"/>
        <rFont val="Times New Roman"/>
        <family val="1"/>
      </rPr>
      <t>N</t>
    </r>
    <r>
      <rPr>
        <sz val="9"/>
        <color theme="1"/>
        <rFont val="Times New Roman"/>
        <family val="1"/>
      </rPr>
      <t xml:space="preserve"> =</t>
    </r>
  </si>
  <si>
    <r>
      <rPr>
        <i/>
        <sz val="9"/>
        <color theme="1"/>
        <rFont val="Times New Roman"/>
        <family val="1"/>
      </rPr>
      <t>α</t>
    </r>
    <r>
      <rPr>
        <sz val="9"/>
        <color theme="1"/>
        <rFont val="Times New Roman"/>
        <family val="1"/>
      </rPr>
      <t xml:space="preserve"> =</t>
    </r>
  </si>
  <si>
    <r>
      <rPr>
        <i/>
        <sz val="9"/>
        <color theme="1"/>
        <rFont val="Times New Roman"/>
        <family val="1"/>
      </rPr>
      <t>EMA</t>
    </r>
    <r>
      <rPr>
        <i/>
        <vertAlign val="subscript"/>
        <sz val="9"/>
        <color theme="1"/>
        <rFont val="Times New Roman"/>
        <family val="1"/>
      </rPr>
      <t>0</t>
    </r>
    <r>
      <rPr>
        <sz val="9"/>
        <color theme="1"/>
        <rFont val="Times New Roman"/>
        <family val="1"/>
      </rPr>
      <t xml:space="preserve"> =</t>
    </r>
  </si>
  <si>
    <t>Recursion in Excel, Power Query &amp; DAX</t>
  </si>
  <si>
    <t>Recursion shows up everywhere in business models — from carrying balances forward to building running trends and generating forecasts. But not all tools handle recursion the same way.
In this session, you’ll see how recursion is handled in Excel, Power Query, and DAX. We’ll focus on real business scenarios to understand:
* how Excel makes recursion intuitive with formulas
* how Power Query enables it through transformations and iterative functions
* how DAX requires creative workarounds to achieve the same results. Unlike Excel and Power Query, DAX has no native recursive functions so referring to prior results is not straightforward, yet it offers dynamic context and powerful drill-down capabilities for analysis.
Let's explore their trade-offs in performance, flexibility and scalability, and practical techniques to solve recursive challenges in reporting, analytics, and financial modelling.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</si>
</sst>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d\ mmm\ yy"/>
    <numFmt numFmtId="165" formatCode="#,##0."/>
    <numFmt numFmtId="166" formatCode="ddd\ d\-mmm"/>
    <numFmt numFmtId="167" formatCode="[&gt;1]0&quot; days&quot;;[=1]0&quot; day&quot;;\-"/>
    <numFmt numFmtId="168" formatCode="0.00%_);\(0.00%\);\-_%_)"/>
  </numFmts>
  <fonts count="23" x14ac:knownFonts="1">
    <font>
      <sz val="11"/>
      <color theme="1"/>
      <name val="Aptos Narrow"/>
      <family val="2"/>
      <scheme val="minor"/>
    </font>
    <font>
      <sz val="11"/>
      <color theme="1"/>
      <name val="Aptos Narrow"/>
      <family val="2"/>
      <scheme val="minor"/>
    </font>
    <font>
      <sz val="11"/>
      <color rgb="FF3F3F76"/>
      <name val="Aptos Narrow"/>
      <family val="2"/>
      <scheme val="minor"/>
    </font>
    <font>
      <sz val="11"/>
      <color theme="0"/>
      <name val="Aptos Narrow"/>
      <family val="2"/>
      <scheme val="minor"/>
    </font>
    <font>
      <sz val="11"/>
      <name val="Aptos Narrow"/>
      <family val="2"/>
      <scheme val="minor"/>
    </font>
    <font>
      <u/>
      <sz val="11"/>
      <color theme="10"/>
      <name val="Aptos Narrow"/>
      <family val="2"/>
      <scheme val="minor"/>
    </font>
    <font>
      <sz val="10"/>
      <color theme="1"/>
      <name val="Aptos Narrow"/>
      <family val="2"/>
      <scheme val="minor"/>
    </font>
    <font>
      <i/>
      <sz val="9"/>
      <color rgb="FFC00000"/>
      <name val="Calibri"/>
      <family val="2"/>
    </font>
    <font>
      <sz val="9"/>
      <color theme="0" tint="-0.499984740745262"/>
      <name val="Arial"/>
      <family val="2"/>
    </font>
    <font>
      <b/>
      <sz val="12"/>
      <color theme="0"/>
      <name val="Arial"/>
      <family val="2"/>
    </font>
    <font>
      <b/>
      <sz val="13"/>
      <color rgb="FF215967"/>
      <name val="Arial"/>
      <family val="2"/>
    </font>
    <font>
      <b/>
      <sz val="16"/>
      <color rgb="FF215967"/>
      <name val="Arial"/>
      <family val="2"/>
    </font>
    <font>
      <b/>
      <sz val="9"/>
      <color theme="0"/>
      <name val="Arial"/>
      <family val="2"/>
    </font>
    <font>
      <i/>
      <sz val="10"/>
      <color theme="1"/>
      <name val="Times New Roman"/>
      <family val="1"/>
    </font>
    <font>
      <sz val="10"/>
      <color theme="1"/>
      <name val="Aptos Narrow"/>
      <family val="1"/>
      <scheme val="minor"/>
    </font>
    <font>
      <sz val="9"/>
      <name val="Arial"/>
      <family val="2"/>
    </font>
    <font>
      <i/>
      <sz val="8"/>
      <color theme="0" tint="-0.499984740745262"/>
      <name val="Arial"/>
      <family val="2"/>
    </font>
    <font>
      <b/>
      <sz val="10"/>
      <color rgb="FF215967"/>
      <name val="Arial"/>
      <family val="2"/>
    </font>
    <font>
      <b/>
      <sz val="14"/>
      <color rgb="FF215967"/>
      <name val="Aptos Narrow"/>
      <family val="2"/>
      <scheme val="minor"/>
    </font>
    <font>
      <sz val="11"/>
      <color rgb="FF215967"/>
      <name val="Aptos Narrow"/>
      <family val="2"/>
      <scheme val="minor"/>
    </font>
    <font>
      <sz val="9"/>
      <color theme="1"/>
      <name val="Times New Roman"/>
      <family val="1"/>
    </font>
    <font>
      <i/>
      <sz val="9"/>
      <color theme="1"/>
      <name val="Times New Roman"/>
      <family val="1"/>
    </font>
    <font>
      <i/>
      <vertAlign val="subscript"/>
      <sz val="9"/>
      <color theme="1"/>
      <name val="Times New Roman"/>
      <family val="1"/>
    </font>
  </fonts>
  <fills count="7">
    <fill>
      <patternFill patternType="none"/>
    </fill>
    <fill>
      <patternFill patternType="gray125"/>
    </fill>
    <fill>
      <patternFill patternType="solid">
        <fgColor rgb="FFFFFF99"/>
        <bgColor indexed="64"/>
      </patternFill>
    </fill>
    <fill>
      <patternFill patternType="solid">
        <fgColor theme="1"/>
        <bgColor indexed="64"/>
      </patternFill>
    </fill>
    <fill>
      <patternFill patternType="solid">
        <fgColor rgb="FFDAEEF3"/>
        <bgColor indexed="64"/>
      </patternFill>
    </fill>
    <fill>
      <patternFill patternType="solid">
        <fgColor theme="1" tint="0.499984740745262"/>
        <bgColor indexed="64"/>
      </patternFill>
    </fill>
    <fill>
      <patternFill patternType="solid">
        <fgColor theme="0" tint="-0.24994659260841701"/>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ck">
        <color rgb="FF4F81BD"/>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left>
      <right style="thin">
        <color theme="1"/>
      </right>
      <top style="thin">
        <color theme="1"/>
      </top>
      <bottom style="thin">
        <color theme="1"/>
      </bottom>
      <diagonal/>
    </border>
  </borders>
  <cellStyleXfs count="15">
    <xf numFmtId="0" fontId="0" fillId="0" borderId="0"/>
    <xf numFmtId="0" fontId="2" fillId="2" borderId="1" applyNumberFormat="0" applyAlignment="0" applyProtection="0"/>
    <xf numFmtId="168" fontId="1" fillId="0" borderId="0" applyFont="0" applyFill="0" applyBorder="0" applyAlignment="0" applyProtection="0"/>
    <xf numFmtId="41" fontId="1" fillId="0" borderId="0" applyFont="0" applyFill="0" applyBorder="0" applyAlignment="0" applyProtection="0"/>
    <xf numFmtId="0" fontId="5" fillId="0" borderId="0" applyNumberFormat="0" applyFill="0" applyBorder="0" applyAlignment="0" applyProtection="0"/>
    <xf numFmtId="0" fontId="7" fillId="0" borderId="2" applyNumberFormat="0" applyFill="0" applyBorder="0"/>
    <xf numFmtId="0" fontId="8" fillId="4" borderId="3" applyNumberFormat="0" applyFont="0" applyAlignment="0"/>
    <xf numFmtId="0" fontId="12" fillId="5" borderId="0" applyNumberFormat="0">
      <alignment horizontal="center"/>
    </xf>
    <xf numFmtId="0" fontId="10" fillId="0" borderId="0" applyNumberFormat="0" applyFill="0" applyAlignment="0" applyProtection="0"/>
    <xf numFmtId="0" fontId="9" fillId="3" borderId="4" applyNumberFormat="0" applyProtection="0"/>
    <xf numFmtId="165" fontId="9" fillId="3" borderId="4"/>
    <xf numFmtId="0" fontId="11" fillId="0" borderId="0" applyNumberFormat="0" applyFill="0" applyBorder="0" applyProtection="0"/>
    <xf numFmtId="0" fontId="8" fillId="0" borderId="5" applyNumberFormat="0" applyAlignment="0">
      <alignment horizontal="center"/>
    </xf>
    <xf numFmtId="41" fontId="15" fillId="6" borderId="6" applyNumberFormat="0" applyAlignment="0"/>
    <xf numFmtId="0" fontId="16" fillId="0" borderId="0" applyNumberFormat="0" applyFill="0" applyBorder="0" applyAlignment="0"/>
  </cellStyleXfs>
  <cellXfs count="35">
    <xf numFmtId="0" fontId="0" fillId="0" borderId="0" xfId="0"/>
    <xf numFmtId="0" fontId="3" fillId="0" borderId="0" xfId="0" applyFont="1"/>
    <xf numFmtId="41" fontId="0" fillId="0" borderId="0" xfId="3" applyFont="1"/>
    <xf numFmtId="41" fontId="2" fillId="2" borderId="1" xfId="1" applyNumberFormat="1"/>
    <xf numFmtId="0" fontId="2" fillId="2" borderId="1" xfId="1" applyAlignment="1">
      <alignment horizontal="center"/>
    </xf>
    <xf numFmtId="164" fontId="2" fillId="2" borderId="1" xfId="1" applyNumberFormat="1" applyAlignment="1">
      <alignment horizontal="center"/>
    </xf>
    <xf numFmtId="0" fontId="5" fillId="0" borderId="0" xfId="4" applyAlignment="1">
      <alignment horizontal="left" vertical="center" readingOrder="1"/>
    </xf>
    <xf numFmtId="0" fontId="0" fillId="0" borderId="0" xfId="0" applyAlignment="1">
      <alignment horizontal="left" indent="2"/>
    </xf>
    <xf numFmtId="0" fontId="6" fillId="0" borderId="0" xfId="0" applyFont="1" applyAlignment="1">
      <alignment horizontal="left" vertical="center" wrapText="1"/>
    </xf>
    <xf numFmtId="0" fontId="6" fillId="0" borderId="0" xfId="0" applyFont="1"/>
    <xf numFmtId="0" fontId="11" fillId="0" borderId="0" xfId="11"/>
    <xf numFmtId="0" fontId="12" fillId="5" borderId="0" xfId="7">
      <alignment horizontal="center"/>
    </xf>
    <xf numFmtId="0" fontId="7" fillId="0" borderId="0" xfId="5" applyBorder="1"/>
    <xf numFmtId="41" fontId="0" fillId="4" borderId="3" xfId="6" applyNumberFormat="1" applyFont="1"/>
    <xf numFmtId="0" fontId="14" fillId="0" borderId="0" xfId="0" applyFont="1"/>
    <xf numFmtId="166" fontId="2" fillId="2" borderId="1" xfId="1" applyNumberFormat="1" applyAlignment="1">
      <alignment vertical="center" wrapText="1"/>
    </xf>
    <xf numFmtId="167" fontId="2" fillId="2" borderId="1" xfId="1" applyNumberFormat="1"/>
    <xf numFmtId="0" fontId="0" fillId="4" borderId="3" xfId="6" applyFont="1"/>
    <xf numFmtId="0" fontId="8" fillId="0" borderId="5" xfId="12" applyAlignment="1"/>
    <xf numFmtId="41" fontId="15" fillId="6" borderId="6" xfId="13" applyNumberFormat="1"/>
    <xf numFmtId="0" fontId="12" fillId="5" borderId="0" xfId="7" applyAlignment="1">
      <alignment horizontal="centerContinuous"/>
    </xf>
    <xf numFmtId="0" fontId="16" fillId="0" borderId="0" xfId="14"/>
    <xf numFmtId="0" fontId="17" fillId="0" borderId="0" xfId="8" applyFont="1"/>
    <xf numFmtId="0" fontId="18" fillId="0" borderId="0" xfId="0" applyFont="1" applyAlignment="1">
      <alignment horizontal="center"/>
    </xf>
    <xf numFmtId="0" fontId="19" fillId="0" borderId="0" xfId="0" applyFont="1" applyAlignment="1">
      <alignment horizontal="center"/>
    </xf>
    <xf numFmtId="168" fontId="2" fillId="2" borderId="1" xfId="2" applyFont="1" applyFill="1" applyBorder="1"/>
    <xf numFmtId="168" fontId="0" fillId="4" borderId="3" xfId="2" applyFont="1" applyFill="1" applyBorder="1"/>
    <xf numFmtId="168" fontId="0" fillId="0" borderId="0" xfId="2" applyFont="1"/>
    <xf numFmtId="0" fontId="0" fillId="0" borderId="0" xfId="0" applyAlignment="1">
      <alignment vertical="top"/>
    </xf>
    <xf numFmtId="0" fontId="20" fillId="0" borderId="0" xfId="0" applyFont="1" applyAlignment="1">
      <alignment horizontal="right" indent="1"/>
    </xf>
    <xf numFmtId="164" fontId="0" fillId="0" borderId="0" xfId="0" applyNumberFormat="1" applyAlignment="1">
      <alignment horizontal="center"/>
    </xf>
    <xf numFmtId="41" fontId="0" fillId="0" borderId="0" xfId="0" applyNumberFormat="1"/>
    <xf numFmtId="164" fontId="0" fillId="4" borderId="3" xfId="6" applyNumberFormat="1" applyFont="1" applyAlignment="1">
      <alignment horizontal="center"/>
    </xf>
    <xf numFmtId="41" fontId="4" fillId="4" borderId="3" xfId="6" applyNumberFormat="1" applyFont="1"/>
    <xf numFmtId="164" fontId="15" fillId="6" borderId="6" xfId="13" applyNumberFormat="1" applyAlignment="1">
      <alignment horizontal="center"/>
    </xf>
  </cellXfs>
  <cellStyles count="15">
    <cellStyle name="Comma [0]" xfId="3" builtinId="6"/>
    <cellStyle name="Constraint" xfId="12" xr:uid="{3427DD8E-A475-48A4-B340-B31073CD913C}"/>
    <cellStyle name="Heading 1 Number" xfId="10" xr:uid="{14DF7E00-BD5A-46CD-B16D-EC41533CB6F8}"/>
    <cellStyle name="Heading 1 Text" xfId="9" xr:uid="{D9182657-8A49-40B1-8713-5153F708A741}"/>
    <cellStyle name="Heading 2 Text" xfId="8" xr:uid="{FC31EE78-868A-44A9-8FAF-0FB63D77BDB7}"/>
    <cellStyle name="Hyperlink" xfId="4" builtinId="8"/>
    <cellStyle name="Input" xfId="1" builtinId="20" customBuiltin="1"/>
    <cellStyle name="Internal Ref" xfId="13" xr:uid="{7B62893A-6184-4E3D-8E5F-5F2DE8B69508}"/>
    <cellStyle name="Normal" xfId="0" builtinId="0"/>
    <cellStyle name="Notes" xfId="5" xr:uid="{2B044444-66B9-4991-8536-6A9211C37DD5}"/>
    <cellStyle name="Parameter" xfId="6" xr:uid="{69C7DD86-DD3D-4201-9FAF-5F53B36D4D14}"/>
    <cellStyle name="Percent" xfId="2" builtinId="5" customBuiltin="1"/>
    <cellStyle name="Range Name Description" xfId="14" xr:uid="{297528D5-420E-4A52-88D3-0F690B7C26A4}"/>
    <cellStyle name="Sheet Title" xfId="11" xr:uid="{9285E6F7-B1EB-4453-A1B9-7B5C9C5EDF61}"/>
    <cellStyle name="Table_Heading" xfId="7" xr:uid="{2E8B7717-EF65-45BC-A3BB-52F4FC983AFC}"/>
  </cellStyles>
  <dxfs count="6">
    <dxf>
      <numFmt numFmtId="164" formatCode="d\ mmm\ yy"/>
      <alignment horizontal="center" vertical="bottom" textRotation="0" wrapText="0" indent="0" justifyLastLine="0" shrinkToFit="0" readingOrder="0"/>
    </dxf>
    <dxf>
      <numFmt numFmtId="166" formatCode="ddd\ d\-mmm"/>
    </dxf>
    <dxf>
      <border outline="0">
        <top style="thin">
          <color theme="1"/>
        </top>
        <bottom style="thin">
          <color rgb="FF7F7F7F"/>
        </bottom>
      </border>
    </dxf>
    <dxf>
      <numFmt numFmtId="14" formatCode="0.00%"/>
    </dxf>
    <dxf>
      <border outline="0">
        <top style="thin">
          <color theme="1"/>
        </top>
        <bottom style="thin">
          <color rgb="FF7F7F7F"/>
        </bottom>
      </border>
    </dxf>
    <dxf>
      <border outline="0">
        <top style="thin">
          <color theme="1"/>
        </top>
        <bottom style="thin">
          <color rgb="FF7F7F7F"/>
        </bottom>
      </border>
    </dxf>
  </dxfs>
  <tableStyles count="0" defaultPivotStyle="PivotStyleLight16"/>
  <colors>
    <mruColors>
      <color rgb="FFDAEEF3"/>
      <color rgb="FF215967"/>
      <color rgb="FFFFFF99"/>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powerPivotData" Target="model/item.data"/><Relationship Id="rId19" Type="http://schemas.openxmlformats.org/officeDocument/2006/relationships/customXml" Target="../customXml/item8.xml"/><Relationship Id="rId31"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Sales vs 7-Day EMA vs 7-Day SMA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1083890670803E-2"/>
          <c:y val="0.13737037037037036"/>
          <c:w val="0.85079307778658275"/>
          <c:h val="0.67490813648293968"/>
        </c:manualLayout>
      </c:layout>
      <c:lineChart>
        <c:grouping val="standard"/>
        <c:varyColors val="0"/>
        <c:ser>
          <c:idx val="0"/>
          <c:order val="0"/>
          <c:tx>
            <c:strRef>
              <c:f>'3. EMA'!$O$11</c:f>
              <c:strCache>
                <c:ptCount val="1"/>
                <c:pt idx="0">
                  <c:v>Sales</c:v>
                </c:pt>
              </c:strCache>
            </c:strRef>
          </c:tx>
          <c:spPr>
            <a:ln w="19050" cap="rnd">
              <a:solidFill>
                <a:srgbClr val="FFC000"/>
              </a:solidFill>
              <a:round/>
            </a:ln>
            <a:effectLst/>
          </c:spPr>
          <c:marker>
            <c:symbol val="none"/>
          </c:marker>
          <c:dLbls>
            <c:dLbl>
              <c:idx val="1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89DA-4E11-A615-C3FF842256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'3. EMA'!$C$12:$C$25</c:f>
              <c:numCache>
                <c:formatCode>ddd\ d\-mmm</c:formatCode>
                <c:ptCount val="14"/>
                <c:pt idx="0">
                  <c:v>45922</c:v>
                </c:pt>
                <c:pt idx="1">
                  <c:v>45923</c:v>
                </c:pt>
                <c:pt idx="2">
                  <c:v>45924</c:v>
                </c:pt>
                <c:pt idx="3">
                  <c:v>45925</c:v>
                </c:pt>
                <c:pt idx="4">
                  <c:v>45926</c:v>
                </c:pt>
                <c:pt idx="5">
                  <c:v>45927</c:v>
                </c:pt>
                <c:pt idx="6">
                  <c:v>45928</c:v>
                </c:pt>
                <c:pt idx="7">
                  <c:v>45929</c:v>
                </c:pt>
                <c:pt idx="8">
                  <c:v>45930</c:v>
                </c:pt>
                <c:pt idx="9">
                  <c:v>45931</c:v>
                </c:pt>
                <c:pt idx="10">
                  <c:v>45932</c:v>
                </c:pt>
                <c:pt idx="11">
                  <c:v>45933</c:v>
                </c:pt>
                <c:pt idx="12">
                  <c:v>45934</c:v>
                </c:pt>
                <c:pt idx="13">
                  <c:v>45935</c:v>
                </c:pt>
              </c:numCache>
            </c:numRef>
          </c:cat>
          <c:val>
            <c:numRef>
              <c:f>'3. EMA'!$O$12:$O$25</c:f>
              <c:numCache>
                <c:formatCode>_(* #,##0_);_(* \(#,##0\);_(* "-"_);_(@_)</c:formatCode>
                <c:ptCount val="14"/>
                <c:pt idx="0">
                  <c:v>100</c:v>
                </c:pt>
                <c:pt idx="1">
                  <c:v>140</c:v>
                </c:pt>
                <c:pt idx="2">
                  <c:v>90</c:v>
                </c:pt>
                <c:pt idx="3">
                  <c:v>130</c:v>
                </c:pt>
                <c:pt idx="4">
                  <c:v>190</c:v>
                </c:pt>
                <c:pt idx="5">
                  <c:v>210</c:v>
                </c:pt>
                <c:pt idx="6">
                  <c:v>250</c:v>
                </c:pt>
                <c:pt idx="7">
                  <c:v>150</c:v>
                </c:pt>
                <c:pt idx="8">
                  <c:v>80</c:v>
                </c:pt>
                <c:pt idx="9">
                  <c:v>120</c:v>
                </c:pt>
                <c:pt idx="10">
                  <c:v>110</c:v>
                </c:pt>
                <c:pt idx="11">
                  <c:v>180</c:v>
                </c:pt>
                <c:pt idx="12">
                  <c:v>230</c:v>
                </c:pt>
                <c:pt idx="13">
                  <c:v>200</c:v>
                </c:pt>
              </c:numCache>
            </c:numRef>
          </c:val>
          <c:smooth val="0"/>
          <c:extLst>
            <c:ext xmlns:c16="http://schemas.microsoft.com/office/drawing/2014/chart" uri="{C3380CC4-5D6E-409C-BE32-E72D297353CC}">
              <c16:uniqueId val="{00000000-89DA-4E11-A615-C3FF84225696}"/>
            </c:ext>
          </c:extLst>
        </c:ser>
        <c:ser>
          <c:idx val="1"/>
          <c:order val="1"/>
          <c:tx>
            <c:strRef>
              <c:f>'3. EMA'!$P$11</c:f>
              <c:strCache>
                <c:ptCount val="1"/>
                <c:pt idx="0">
                  <c:v>EMA</c:v>
                </c:pt>
              </c:strCache>
            </c:strRef>
          </c:tx>
          <c:spPr>
            <a:ln w="19050" cap="rnd">
              <a:solidFill>
                <a:schemeClr val="accent4"/>
              </a:solidFill>
              <a:prstDash val="sysDot"/>
              <a:round/>
            </a:ln>
            <a:effectLst/>
          </c:spPr>
          <c:marker>
            <c:symbol val="none"/>
          </c:marker>
          <c:dLbls>
            <c:dLbl>
              <c:idx val="1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9DA-4E11-A615-C3FF842256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'3. EMA'!$C$12:$C$25</c:f>
              <c:numCache>
                <c:formatCode>ddd\ d\-mmm</c:formatCode>
                <c:ptCount val="14"/>
                <c:pt idx="0">
                  <c:v>45922</c:v>
                </c:pt>
                <c:pt idx="1">
                  <c:v>45923</c:v>
                </c:pt>
                <c:pt idx="2">
                  <c:v>45924</c:v>
                </c:pt>
                <c:pt idx="3">
                  <c:v>45925</c:v>
                </c:pt>
                <c:pt idx="4">
                  <c:v>45926</c:v>
                </c:pt>
                <c:pt idx="5">
                  <c:v>45927</c:v>
                </c:pt>
                <c:pt idx="6">
                  <c:v>45928</c:v>
                </c:pt>
                <c:pt idx="7">
                  <c:v>45929</c:v>
                </c:pt>
                <c:pt idx="8">
                  <c:v>45930</c:v>
                </c:pt>
                <c:pt idx="9">
                  <c:v>45931</c:v>
                </c:pt>
                <c:pt idx="10">
                  <c:v>45932</c:v>
                </c:pt>
                <c:pt idx="11">
                  <c:v>45933</c:v>
                </c:pt>
                <c:pt idx="12">
                  <c:v>45934</c:v>
                </c:pt>
                <c:pt idx="13">
                  <c:v>45935</c:v>
                </c:pt>
              </c:numCache>
            </c:numRef>
          </c:cat>
          <c:val>
            <c:numRef>
              <c:f>'3. EMA'!$P$12:$P$25</c:f>
              <c:numCache>
                <c:formatCode>_(* #,##0_);_(* \(#,##0\);_(*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1-89DA-4E11-A615-C3FF84225696}"/>
            </c:ext>
          </c:extLst>
        </c:ser>
        <c:ser>
          <c:idx val="2"/>
          <c:order val="2"/>
          <c:tx>
            <c:strRef>
              <c:f>'3. EMA'!$Q$11</c:f>
              <c:strCache>
                <c:ptCount val="1"/>
                <c:pt idx="0">
                  <c:v>SMA</c:v>
                </c:pt>
              </c:strCache>
            </c:strRef>
          </c:tx>
          <c:spPr>
            <a:ln w="19050" cap="rnd">
              <a:solidFill>
                <a:schemeClr val="accent6"/>
              </a:solidFill>
              <a:prstDash val="sysDot"/>
              <a:round/>
            </a:ln>
            <a:effectLst/>
          </c:spPr>
          <c:marker>
            <c:symbol val="none"/>
          </c:marker>
          <c:dLbls>
            <c:dLbl>
              <c:idx val="1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89DA-4E11-A615-C3FF842256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'3. EMA'!$C$12:$C$25</c:f>
              <c:numCache>
                <c:formatCode>ddd\ d\-mmm</c:formatCode>
                <c:ptCount val="14"/>
                <c:pt idx="0">
                  <c:v>45922</c:v>
                </c:pt>
                <c:pt idx="1">
                  <c:v>45923</c:v>
                </c:pt>
                <c:pt idx="2">
                  <c:v>45924</c:v>
                </c:pt>
                <c:pt idx="3">
                  <c:v>45925</c:v>
                </c:pt>
                <c:pt idx="4">
                  <c:v>45926</c:v>
                </c:pt>
                <c:pt idx="5">
                  <c:v>45927</c:v>
                </c:pt>
                <c:pt idx="6">
                  <c:v>45928</c:v>
                </c:pt>
                <c:pt idx="7">
                  <c:v>45929</c:v>
                </c:pt>
                <c:pt idx="8">
                  <c:v>45930</c:v>
                </c:pt>
                <c:pt idx="9">
                  <c:v>45931</c:v>
                </c:pt>
                <c:pt idx="10">
                  <c:v>45932</c:v>
                </c:pt>
                <c:pt idx="11">
                  <c:v>45933</c:v>
                </c:pt>
                <c:pt idx="12">
                  <c:v>45934</c:v>
                </c:pt>
                <c:pt idx="13">
                  <c:v>45935</c:v>
                </c:pt>
              </c:numCache>
            </c:numRef>
          </c:cat>
          <c:val>
            <c:numRef>
              <c:f>'3. EMA'!$Q$12:$Q$25</c:f>
              <c:numCache>
                <c:formatCode>_(* #,##0_);_(* \(#,##0\);_(* "-"_);_(@_)</c:formatCode>
                <c:ptCount val="14"/>
                <c:pt idx="0">
                  <c:v>100</c:v>
                </c:pt>
                <c:pt idx="1">
                  <c:v>120</c:v>
                </c:pt>
                <c:pt idx="2">
                  <c:v>110</c:v>
                </c:pt>
                <c:pt idx="3">
                  <c:v>115</c:v>
                </c:pt>
                <c:pt idx="4">
                  <c:v>130</c:v>
                </c:pt>
                <c:pt idx="5">
                  <c:v>143.33333333333334</c:v>
                </c:pt>
                <c:pt idx="6">
                  <c:v>158.57142857142858</c:v>
                </c:pt>
                <c:pt idx="7">
                  <c:v>165.71428571428572</c:v>
                </c:pt>
                <c:pt idx="8">
                  <c:v>157.14285714285714</c:v>
                </c:pt>
                <c:pt idx="9">
                  <c:v>161.42857142857142</c:v>
                </c:pt>
                <c:pt idx="10">
                  <c:v>158.57142857142858</c:v>
                </c:pt>
                <c:pt idx="11">
                  <c:v>157.14285714285714</c:v>
                </c:pt>
                <c:pt idx="12">
                  <c:v>160</c:v>
                </c:pt>
                <c:pt idx="13">
                  <c:v>152.85714285714286</c:v>
                </c:pt>
              </c:numCache>
            </c:numRef>
          </c:val>
          <c:smooth val="0"/>
          <c:extLst>
            <c:ext xmlns:c16="http://schemas.microsoft.com/office/drawing/2014/chart" uri="{C3380CC4-5D6E-409C-BE32-E72D297353CC}">
              <c16:uniqueId val="{00000002-89DA-4E11-A615-C3FF84225696}"/>
            </c:ext>
          </c:extLst>
        </c:ser>
        <c:dLbls>
          <c:showLegendKey val="0"/>
          <c:showVal val="0"/>
          <c:showCatName val="0"/>
          <c:showSerName val="0"/>
          <c:showPercent val="0"/>
          <c:showBubbleSize val="0"/>
        </c:dLbls>
        <c:smooth val="0"/>
        <c:axId val="129093792"/>
        <c:axId val="129094272"/>
      </c:lineChart>
      <c:dateAx>
        <c:axId val="129093792"/>
        <c:scaling>
          <c:orientation val="minMax"/>
        </c:scaling>
        <c:delete val="0"/>
        <c:axPos val="b"/>
        <c:numFmt formatCode="ddd\ 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4272"/>
        <c:crosses val="autoZero"/>
        <c:auto val="1"/>
        <c:lblOffset val="100"/>
        <c:baseTimeUnit val="days"/>
      </c:dateAx>
      <c:valAx>
        <c:axId val="12909427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'4. SMA Forecast'!$B$3</c:f>
          <c:strCache>
            <c:ptCount val="1"/>
            <c:pt idx="0">
              <c:v>Simple Moving Average (SMA) Forecast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Actuals</c:v>
          </c:tx>
          <c:spPr>
            <a:ln w="28575" cap="rnd">
              <a:solidFill>
                <a:schemeClr val="bg1">
                  <a:lumMod val="75000"/>
                </a:schemeClr>
              </a:solidFill>
              <a:round/>
            </a:ln>
            <a:effectLst/>
          </c:spPr>
          <c:marker>
            <c:symbol val="none"/>
          </c:marker>
          <c:cat>
            <c:numRef>
              <c:f>'4. SMA Forecast'!$F$9:$F$20</c:f>
              <c:numCache>
                <c:formatCode>d\ mmm\ yy</c:formatCode>
                <c:ptCount val="12"/>
              </c:numCache>
            </c:numRef>
          </c:cat>
          <c:val>
            <c:numRef>
              <c:f>'4. SMA Forecast'!$D$9:$D$14</c:f>
              <c:numCache>
                <c:formatCode>_(* #,##0_);_(* \(#,##0\);_(* "-"_);_(@_)</c:formatCode>
                <c:ptCount val="6"/>
                <c:pt idx="0">
                  <c:v>100</c:v>
                </c:pt>
                <c:pt idx="1">
                  <c:v>200</c:v>
                </c:pt>
                <c:pt idx="2">
                  <c:v>300</c:v>
                </c:pt>
                <c:pt idx="3">
                  <c:v>400</c:v>
                </c:pt>
                <c:pt idx="4">
                  <c:v>500</c:v>
                </c:pt>
                <c:pt idx="5">
                  <c:v>600</c:v>
                </c:pt>
              </c:numCache>
            </c:numRef>
          </c:val>
          <c:smooth val="0"/>
          <c:extLst>
            <c:ext xmlns:c16="http://schemas.microsoft.com/office/drawing/2014/chart" uri="{C3380CC4-5D6E-409C-BE32-E72D297353CC}">
              <c16:uniqueId val="{00000004-D00D-4D4B-A8A7-28B2531F3C08}"/>
            </c:ext>
          </c:extLst>
        </c:ser>
        <c:ser>
          <c:idx val="1"/>
          <c:order val="1"/>
          <c:tx>
            <c:v>Forecast</c:v>
          </c:tx>
          <c:spPr>
            <a:ln w="28575" cap="rnd">
              <a:solidFill>
                <a:schemeClr val="accent6"/>
              </a:solidFill>
              <a:round/>
            </a:ln>
            <a:effectLst/>
          </c:spPr>
          <c:marker>
            <c:symbol val="none"/>
          </c:marker>
          <c:cat>
            <c:numRef>
              <c:f>'4. SMA Forecast'!$F$9:$F$20</c:f>
              <c:numCache>
                <c:formatCode>d\ mmm\ yy</c:formatCode>
                <c:ptCount val="12"/>
              </c:numCache>
            </c:numRef>
          </c:cat>
          <c:val>
            <c:numRef>
              <c:f>'4. SMA Forecast'!$G$9:$G$20</c:f>
              <c:numCache>
                <c:formatCode>General</c:formatCode>
                <c:ptCount val="12"/>
              </c:numCache>
            </c:numRef>
          </c:val>
          <c:smooth val="0"/>
          <c:extLst>
            <c:ext xmlns:c16="http://schemas.microsoft.com/office/drawing/2014/chart" uri="{C3380CC4-5D6E-409C-BE32-E72D297353CC}">
              <c16:uniqueId val="{00000005-D00D-4D4B-A8A7-28B2531F3C08}"/>
            </c:ext>
          </c:extLst>
        </c:ser>
        <c:dLbls>
          <c:showLegendKey val="0"/>
          <c:showVal val="0"/>
          <c:showCatName val="0"/>
          <c:showSerName val="0"/>
          <c:showPercent val="0"/>
          <c:showBubbleSize val="0"/>
        </c:dLbls>
        <c:smooth val="0"/>
        <c:axId val="129249967"/>
        <c:axId val="129251407"/>
      </c:lineChart>
      <c:catAx>
        <c:axId val="129249967"/>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407"/>
        <c:crosses val="autoZero"/>
        <c:auto val="1"/>
        <c:lblAlgn val="ctr"/>
        <c:lblOffset val="100"/>
        <c:tickLblSkip val="3"/>
        <c:noMultiLvlLbl val="1"/>
      </c:catAx>
      <c:valAx>
        <c:axId val="12925140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5518149" cy="3103958"/>
    <xdr:pic>
      <xdr:nvPicPr>
        <xdr:cNvPr id="3" name="Graphic 1">
          <a:extLst>
            <a:ext uri="{FF2B5EF4-FFF2-40B4-BE49-F238E27FC236}">
              <a16:creationId xmlns:a16="http://schemas.microsoft.com/office/drawing/2014/main" id="{C1F5BFE2-611C-4C8C-96A5-661F90DE41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49115" y="190500"/>
          <a:ext cx="5518149" cy="31039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16119</xdr:colOff>
      <xdr:row>4</xdr:row>
      <xdr:rowOff>32760</xdr:rowOff>
    </xdr:from>
    <xdr:to>
      <xdr:col>5</xdr:col>
      <xdr:colOff>25771</xdr:colOff>
      <xdr:row>5</xdr:row>
      <xdr:rowOff>178577</xdr:rowOff>
    </xdr:to>
    <xdr:grpSp>
      <xdr:nvGrpSpPr>
        <xdr:cNvPr id="6" name="Group 5">
          <a:extLst>
            <a:ext uri="{FF2B5EF4-FFF2-40B4-BE49-F238E27FC236}">
              <a16:creationId xmlns:a16="http://schemas.microsoft.com/office/drawing/2014/main" id="{82767BA9-BA29-D9C4-8D85-BBA5B2CEB38E}"/>
            </a:ext>
          </a:extLst>
        </xdr:cNvPr>
        <xdr:cNvGrpSpPr/>
      </xdr:nvGrpSpPr>
      <xdr:grpSpPr>
        <a:xfrm>
          <a:off x="513076" y="861021"/>
          <a:ext cx="1848391" cy="336317"/>
          <a:chOff x="1069776" y="721518"/>
          <a:chExt cx="1764475" cy="336317"/>
        </a:xfrm>
      </xdr:grpSpPr>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CD4FFDF-EC16-4B6B-67C0-5767FE6BBAFF}"/>
                  </a:ext>
                </a:extLst>
              </xdr:cNvPr>
              <xdr:cNvSpPr txBox="1"/>
            </xdr:nvSpPr>
            <xdr:spPr>
              <a:xfrm>
                <a:off x="1069776" y="721518"/>
                <a:ext cx="813866" cy="142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en-AU" sz="900" i="1">
                              <a:latin typeface="Cambria Math" panose="02040503050406030204" pitchFamily="18" charset="0"/>
                            </a:rPr>
                          </m:ctrlPr>
                        </m:sSubPr>
                        <m:e>
                          <m:r>
                            <a:rPr lang="en-AU" sz="900" b="0" i="1">
                              <a:latin typeface="Cambria Math" panose="02040503050406030204" pitchFamily="18" charset="0"/>
                            </a:rPr>
                            <m:t>𝐸𝑀𝐴</m:t>
                          </m:r>
                        </m:e>
                        <m:sub>
                          <m:r>
                            <a:rPr lang="en-AU" sz="900" i="0">
                              <a:latin typeface="Cambria Math" panose="02040503050406030204" pitchFamily="18" charset="0"/>
                            </a:rPr>
                            <m:t>0</m:t>
                          </m:r>
                        </m:sub>
                      </m:sSub>
                      <m:r>
                        <a:rPr lang="en-AU" sz="900" i="0">
                          <a:latin typeface="Cambria Math" panose="02040503050406030204" pitchFamily="18" charset="0"/>
                        </a:rPr>
                        <m:t>=</m:t>
                      </m:r>
                      <m:sSub>
                        <m:sSubPr>
                          <m:ctrlPr>
                            <a:rPr lang="en-AU" sz="900" i="1">
                              <a:latin typeface="Cambria Math" panose="02040503050406030204" pitchFamily="18" charset="0"/>
                            </a:rPr>
                          </m:ctrlPr>
                        </m:sSubPr>
                        <m:e>
                          <m:r>
                            <a:rPr lang="en-AU" sz="900" b="0" i="1">
                              <a:latin typeface="Cambria Math" panose="02040503050406030204" pitchFamily="18" charset="0"/>
                            </a:rPr>
                            <m:t>𝑉𝑎𝑙𝑢𝑒</m:t>
                          </m:r>
                        </m:e>
                        <m:sub>
                          <m:r>
                            <a:rPr lang="en-AU" sz="900" i="0">
                              <a:latin typeface="Cambria Math" panose="02040503050406030204" pitchFamily="18" charset="0"/>
                            </a:rPr>
                            <m:t>0</m:t>
                          </m:r>
                        </m:sub>
                      </m:sSub>
                    </m:oMath>
                  </m:oMathPara>
                </a14:m>
                <a:endParaRPr lang="en-AU" sz="900"/>
              </a:p>
            </xdr:txBody>
          </xdr:sp>
        </mc:Choice>
        <mc:Fallback xmlns="">
          <xdr:sp macro="" textlink="">
            <xdr:nvSpPr>
              <xdr:cNvPr id="3" name="TextBox 2">
                <a:extLst>
                  <a:ext uri="{FF2B5EF4-FFF2-40B4-BE49-F238E27FC236}">
                    <a16:creationId xmlns:a16="http://schemas.microsoft.com/office/drawing/2014/main" id="{5CD4FFDF-EC16-4B6B-67C0-5767FE6BBAFF}"/>
                  </a:ext>
                </a:extLst>
              </xdr:cNvPr>
              <xdr:cNvSpPr txBox="1"/>
            </xdr:nvSpPr>
            <xdr:spPr>
              <a:xfrm>
                <a:off x="1069776" y="721518"/>
                <a:ext cx="813866" cy="142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900" i="0">
                    <a:latin typeface="Cambria Math" panose="02040503050406030204" pitchFamily="18" charset="0"/>
                  </a:rPr>
                  <a:t>〖</a:t>
                </a:r>
                <a:r>
                  <a:rPr lang="en-AU" sz="900" b="0" i="0">
                    <a:latin typeface="Cambria Math" panose="02040503050406030204" pitchFamily="18" charset="0"/>
                  </a:rPr>
                  <a:t>𝐸𝑀𝐴〗_</a:t>
                </a:r>
                <a:r>
                  <a:rPr lang="en-AU" sz="900" i="0">
                    <a:latin typeface="Cambria Math" panose="02040503050406030204" pitchFamily="18" charset="0"/>
                  </a:rPr>
                  <a:t>0=〖</a:t>
                </a:r>
                <a:r>
                  <a:rPr lang="en-AU" sz="900" b="0" i="0">
                    <a:latin typeface="Cambria Math" panose="02040503050406030204" pitchFamily="18" charset="0"/>
                  </a:rPr>
                  <a:t>𝑉𝑎𝑙𝑢𝑒〗_</a:t>
                </a:r>
                <a:r>
                  <a:rPr lang="en-AU" sz="900" i="0">
                    <a:latin typeface="Cambria Math" panose="02040503050406030204" pitchFamily="18" charset="0"/>
                  </a:rPr>
                  <a:t>0</a:t>
                </a:r>
                <a:endParaRPr lang="en-AU" sz="900"/>
              </a:p>
            </xdr:txBody>
          </xdr:sp>
        </mc:Fallback>
      </mc:AlternateContent>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AF5FD46-E84A-E1F0-AE6F-33B16B9E4388}"/>
                  </a:ext>
                </a:extLst>
              </xdr:cNvPr>
              <xdr:cNvSpPr txBox="1"/>
            </xdr:nvSpPr>
            <xdr:spPr>
              <a:xfrm>
                <a:off x="1069776" y="915680"/>
                <a:ext cx="1764475" cy="142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en-AU" sz="900" i="1">
                              <a:latin typeface="Cambria Math" panose="02040503050406030204" pitchFamily="18" charset="0"/>
                            </a:rPr>
                          </m:ctrlPr>
                        </m:sSubPr>
                        <m:e>
                          <m:r>
                            <a:rPr lang="en-AU" sz="900" b="0" i="1">
                              <a:latin typeface="Cambria Math" panose="02040503050406030204" pitchFamily="18" charset="0"/>
                            </a:rPr>
                            <m:t>𝐸𝑀𝐴</m:t>
                          </m:r>
                        </m:e>
                        <m:sub>
                          <m:r>
                            <a:rPr lang="en-AU" sz="900" b="0" i="1">
                              <a:latin typeface="Cambria Math" panose="02040503050406030204" pitchFamily="18" charset="0"/>
                            </a:rPr>
                            <m:t>𝑡</m:t>
                          </m:r>
                        </m:sub>
                      </m:sSub>
                      <m:r>
                        <a:rPr lang="en-AU" sz="900" i="0">
                          <a:latin typeface="Cambria Math" panose="02040503050406030204" pitchFamily="18" charset="0"/>
                        </a:rPr>
                        <m:t>=</m:t>
                      </m:r>
                      <m:r>
                        <a:rPr lang="en-AU" sz="900" i="1">
                          <a:latin typeface="Cambria Math" panose="02040503050406030204" pitchFamily="18" charset="0"/>
                        </a:rPr>
                        <m:t>𝛼</m:t>
                      </m:r>
                      <m:sSub>
                        <m:sSubPr>
                          <m:ctrlPr>
                            <a:rPr lang="en-AU" sz="900" i="1">
                              <a:latin typeface="Cambria Math" panose="02040503050406030204" pitchFamily="18" charset="0"/>
                            </a:rPr>
                          </m:ctrlPr>
                        </m:sSubPr>
                        <m:e>
                          <m:r>
                            <a:rPr lang="en-AU" sz="900" b="0" i="1">
                              <a:latin typeface="Cambria Math" panose="02040503050406030204" pitchFamily="18" charset="0"/>
                            </a:rPr>
                            <m:t>𝑉𝑎𝑙𝑢𝑒</m:t>
                          </m:r>
                        </m:e>
                        <m:sub>
                          <m:r>
                            <a:rPr lang="en-AU" sz="900" b="0" i="1">
                              <a:latin typeface="Cambria Math" panose="02040503050406030204" pitchFamily="18" charset="0"/>
                            </a:rPr>
                            <m:t>𝑡</m:t>
                          </m:r>
                        </m:sub>
                      </m:sSub>
                      <m:r>
                        <a:rPr lang="en-AU" sz="900" i="0">
                          <a:latin typeface="Cambria Math" panose="02040503050406030204" pitchFamily="18" charset="0"/>
                        </a:rPr>
                        <m:t>+</m:t>
                      </m:r>
                      <m:d>
                        <m:dPr>
                          <m:ctrlPr>
                            <a:rPr lang="en-AU" sz="900" i="1">
                              <a:latin typeface="Cambria Math" panose="02040503050406030204" pitchFamily="18" charset="0"/>
                            </a:rPr>
                          </m:ctrlPr>
                        </m:dPr>
                        <m:e>
                          <m:r>
                            <a:rPr lang="en-AU" sz="900" i="0">
                              <a:latin typeface="Cambria Math" panose="02040503050406030204" pitchFamily="18" charset="0"/>
                            </a:rPr>
                            <m:t>1−</m:t>
                          </m:r>
                          <m:r>
                            <a:rPr lang="en-AU" sz="900" i="1">
                              <a:latin typeface="Cambria Math" panose="02040503050406030204" pitchFamily="18" charset="0"/>
                            </a:rPr>
                            <m:t>𝛼</m:t>
                          </m:r>
                        </m:e>
                      </m:d>
                      <m:sSub>
                        <m:sSubPr>
                          <m:ctrlPr>
                            <a:rPr lang="en-AU" sz="900" i="1">
                              <a:latin typeface="Cambria Math" panose="02040503050406030204" pitchFamily="18" charset="0"/>
                            </a:rPr>
                          </m:ctrlPr>
                        </m:sSubPr>
                        <m:e>
                          <m:r>
                            <a:rPr lang="en-AU" sz="900" b="0" i="1">
                              <a:latin typeface="Cambria Math" panose="02040503050406030204" pitchFamily="18" charset="0"/>
                            </a:rPr>
                            <m:t>𝐸𝑀𝐴</m:t>
                          </m:r>
                        </m:e>
                        <m:sub>
                          <m:r>
                            <m:rPr>
                              <m:sty m:val="p"/>
                            </m:rPr>
                            <a:rPr lang="en-AU" sz="900" b="0" i="0">
                              <a:latin typeface="Cambria Math" panose="02040503050406030204" pitchFamily="18" charset="0"/>
                            </a:rPr>
                            <m:t>t</m:t>
                          </m:r>
                          <m:r>
                            <a:rPr lang="en-AU" sz="900" i="0">
                              <a:latin typeface="Cambria Math" panose="02040503050406030204" pitchFamily="18" charset="0"/>
                            </a:rPr>
                            <m:t>−1</m:t>
                          </m:r>
                        </m:sub>
                      </m:sSub>
                    </m:oMath>
                  </m:oMathPara>
                </a14:m>
                <a:endParaRPr lang="en-AU" sz="900"/>
              </a:p>
            </xdr:txBody>
          </xdr:sp>
        </mc:Choice>
        <mc:Fallback xmlns="">
          <xdr:sp macro="" textlink="">
            <xdr:nvSpPr>
              <xdr:cNvPr id="5" name="TextBox 4">
                <a:extLst>
                  <a:ext uri="{FF2B5EF4-FFF2-40B4-BE49-F238E27FC236}">
                    <a16:creationId xmlns:a16="http://schemas.microsoft.com/office/drawing/2014/main" id="{1AF5FD46-E84A-E1F0-AE6F-33B16B9E4388}"/>
                  </a:ext>
                </a:extLst>
              </xdr:cNvPr>
              <xdr:cNvSpPr txBox="1"/>
            </xdr:nvSpPr>
            <xdr:spPr>
              <a:xfrm>
                <a:off x="1069776" y="915680"/>
                <a:ext cx="1764475" cy="142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900" i="0">
                    <a:latin typeface="Cambria Math" panose="02040503050406030204" pitchFamily="18" charset="0"/>
                  </a:rPr>
                  <a:t>〖</a:t>
                </a:r>
                <a:r>
                  <a:rPr lang="en-AU" sz="900" b="0" i="0">
                    <a:latin typeface="Cambria Math" panose="02040503050406030204" pitchFamily="18" charset="0"/>
                  </a:rPr>
                  <a:t>𝐸𝑀𝐴〗_𝑡</a:t>
                </a:r>
                <a:r>
                  <a:rPr lang="en-AU" sz="900" i="0">
                    <a:latin typeface="Cambria Math" panose="02040503050406030204" pitchFamily="18" charset="0"/>
                  </a:rPr>
                  <a:t>=𝛼〖</a:t>
                </a:r>
                <a:r>
                  <a:rPr lang="en-AU" sz="900" b="0" i="0">
                    <a:latin typeface="Cambria Math" panose="02040503050406030204" pitchFamily="18" charset="0"/>
                  </a:rPr>
                  <a:t>𝑉𝑎𝑙𝑢𝑒〗_𝑡</a:t>
                </a:r>
                <a:r>
                  <a:rPr lang="en-AU" sz="900" i="0">
                    <a:latin typeface="Cambria Math" panose="02040503050406030204" pitchFamily="18" charset="0"/>
                  </a:rPr>
                  <a:t>+(1−𝛼) 〖</a:t>
                </a:r>
                <a:r>
                  <a:rPr lang="en-AU" sz="900" b="0" i="0">
                    <a:latin typeface="Cambria Math" panose="02040503050406030204" pitchFamily="18" charset="0"/>
                  </a:rPr>
                  <a:t>𝐸𝑀𝐴〗_(t</a:t>
                </a:r>
                <a:r>
                  <a:rPr lang="en-AU" sz="900" i="0">
                    <a:latin typeface="Cambria Math" panose="02040503050406030204" pitchFamily="18" charset="0"/>
                  </a:rPr>
                  <a:t>−1)</a:t>
                </a:r>
                <a:endParaRPr lang="en-AU" sz="900"/>
              </a:p>
            </xdr:txBody>
          </xdr:sp>
        </mc:Fallback>
      </mc:AlternateContent>
    </xdr:grpSp>
    <xdr:clientData/>
  </xdr:twoCellAnchor>
  <xdr:oneCellAnchor>
    <xdr:from>
      <xdr:col>7</xdr:col>
      <xdr:colOff>237253</xdr:colOff>
      <xdr:row>5</xdr:row>
      <xdr:rowOff>146538</xdr:rowOff>
    </xdr:from>
    <xdr:ext cx="532133" cy="26250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455BA06-2BAA-A4B2-2DD5-758F72938303}"/>
                </a:ext>
              </a:extLst>
            </xdr:cNvPr>
            <xdr:cNvSpPr txBox="1"/>
          </xdr:nvSpPr>
          <xdr:spPr>
            <a:xfrm>
              <a:off x="3387830" y="1164980"/>
              <a:ext cx="532133" cy="2625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900" i="1">
                        <a:latin typeface="Cambria Math" panose="02040503050406030204" pitchFamily="18" charset="0"/>
                      </a:rPr>
                      <m:t>𝛼</m:t>
                    </m:r>
                    <m:r>
                      <a:rPr lang="en-AU" sz="900" i="0">
                        <a:latin typeface="Cambria Math" panose="02040503050406030204" pitchFamily="18" charset="0"/>
                      </a:rPr>
                      <m:t>≈</m:t>
                    </m:r>
                    <m:f>
                      <m:fPr>
                        <m:ctrlPr>
                          <a:rPr lang="en-AU" sz="900" i="1">
                            <a:latin typeface="Cambria Math" panose="02040503050406030204" pitchFamily="18" charset="0"/>
                          </a:rPr>
                        </m:ctrlPr>
                      </m:fPr>
                      <m:num>
                        <m:r>
                          <a:rPr lang="en-AU" sz="900" i="0">
                            <a:latin typeface="Cambria Math" panose="02040503050406030204" pitchFamily="18" charset="0"/>
                          </a:rPr>
                          <m:t>2</m:t>
                        </m:r>
                      </m:num>
                      <m:den>
                        <m:r>
                          <a:rPr lang="en-AU" sz="900" i="1">
                            <a:latin typeface="Cambria Math" panose="02040503050406030204" pitchFamily="18" charset="0"/>
                          </a:rPr>
                          <m:t>𝑁</m:t>
                        </m:r>
                        <m:r>
                          <a:rPr lang="en-AU" sz="900" i="0">
                            <a:latin typeface="Cambria Math" panose="02040503050406030204" pitchFamily="18" charset="0"/>
                          </a:rPr>
                          <m:t>+1</m:t>
                        </m:r>
                      </m:den>
                    </m:f>
                  </m:oMath>
                </m:oMathPara>
              </a14:m>
              <a:endParaRPr lang="en-AU" sz="900"/>
            </a:p>
          </xdr:txBody>
        </xdr:sp>
      </mc:Choice>
      <mc:Fallback xmlns="">
        <xdr:sp macro="" textlink="">
          <xdr:nvSpPr>
            <xdr:cNvPr id="7" name="TextBox 6">
              <a:extLst>
                <a:ext uri="{FF2B5EF4-FFF2-40B4-BE49-F238E27FC236}">
                  <a16:creationId xmlns:a16="http://schemas.microsoft.com/office/drawing/2014/main" id="{8455BA06-2BAA-A4B2-2DD5-758F72938303}"/>
                </a:ext>
              </a:extLst>
            </xdr:cNvPr>
            <xdr:cNvSpPr txBox="1"/>
          </xdr:nvSpPr>
          <xdr:spPr>
            <a:xfrm>
              <a:off x="3387830" y="1164980"/>
              <a:ext cx="532133" cy="2625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900" i="0">
                  <a:latin typeface="Cambria Math" panose="02040503050406030204" pitchFamily="18" charset="0"/>
                </a:rPr>
                <a:t>𝛼≈2/(𝑁+1)</a:t>
              </a:r>
              <a:endParaRPr lang="en-AU" sz="900"/>
            </a:p>
          </xdr:txBody>
        </xdr:sp>
      </mc:Fallback>
    </mc:AlternateContent>
    <xdr:clientData/>
  </xdr:oneCellAnchor>
  <xdr:twoCellAnchor>
    <xdr:from>
      <xdr:col>11</xdr:col>
      <xdr:colOff>455542</xdr:colOff>
      <xdr:row>7</xdr:row>
      <xdr:rowOff>7327</xdr:rowOff>
    </xdr:from>
    <xdr:to>
      <xdr:col>20</xdr:col>
      <xdr:colOff>612912</xdr:colOff>
      <xdr:row>25</xdr:row>
      <xdr:rowOff>7327</xdr:rowOff>
    </xdr:to>
    <xdr:graphicFrame macro="">
      <xdr:nvGraphicFramePr>
        <xdr:cNvPr id="8" name="Chart 7">
          <a:extLst>
            <a:ext uri="{FF2B5EF4-FFF2-40B4-BE49-F238E27FC236}">
              <a16:creationId xmlns:a16="http://schemas.microsoft.com/office/drawing/2014/main" id="{56DB0967-7F70-9039-AA6D-CEC325ADB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8</xdr:row>
      <xdr:rowOff>0</xdr:rowOff>
    </xdr:from>
    <xdr:to>
      <xdr:col>18</xdr:col>
      <xdr:colOff>0</xdr:colOff>
      <xdr:row>20</xdr:row>
      <xdr:rowOff>0</xdr:rowOff>
    </xdr:to>
    <xdr:graphicFrame macro="">
      <xdr:nvGraphicFramePr>
        <xdr:cNvPr id="2" name="Chart 1">
          <a:extLst>
            <a:ext uri="{FF2B5EF4-FFF2-40B4-BE49-F238E27FC236}">
              <a16:creationId xmlns:a16="http://schemas.microsoft.com/office/drawing/2014/main" id="{706D0AE2-08C3-A308-4C10-630704A15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70B091-28DE-4EF1-805C-ADF07A8F87A9}" name="RT" displayName="RT" ref="C5:C15" totalsRowShown="0" tableBorderDxfId="5" headerRowCellStyle="Table_Heading" dataCellStyle="Input">
  <tableColumns count="1">
    <tableColumn id="2" xr3:uid="{F6126452-D836-43E2-A249-D917FDCA1376}" name="Value" dataCellStyle="Inpu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D51C31-D83B-4C40-80B1-D1145D80FDFD}" name="CumulativePct" displayName="CumulativePct" ref="C5:C15" totalsRowShown="0" tableBorderDxfId="4" headerRowCellStyle="Table_Heading" dataCellStyle="Percent">
  <tableColumns count="1">
    <tableColumn id="2" xr3:uid="{49DFCE6F-44B3-4E8F-86F2-0CBDF25965F0}" name="Value" dataCellStyle="Perc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D3586A-1713-4658-980B-C4C7B340A508}" name="EMA" displayName="EMA" ref="C11:D25" totalsRowShown="0" dataDxfId="3" tableBorderDxfId="2" headerRowCellStyle="Table_Heading" dataCellStyle="Input">
  <tableColumns count="2">
    <tableColumn id="2" xr3:uid="{6735ADF3-4846-4E71-9B4C-D0A302E39698}" name="Date" dataDxfId="1" dataCellStyle="Input"/>
    <tableColumn id="3" xr3:uid="{6A707432-2812-40D2-AF86-A41642ADD8EC}" name="Sales" dataCellStyle="Inpu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FC6951E-654F-47F7-B6D9-CBD6BBD079FA}" name="SMA" displayName="SMA" ref="C8:D14" totalsRowShown="0" headerRowCellStyle="Table_Heading" dataCellStyle="Input">
  <tableColumns count="2">
    <tableColumn id="1" xr3:uid="{F584EB48-D323-4239-B402-A9F9083F17BB}" name="Date" dataDxfId="0" dataCellStyle="Input"/>
    <tableColumn id="2" xr3:uid="{881AFBFA-F5ED-419E-A99C-3D720D39F425}" name="Value" dataCellStyle="Inpu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1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574606-8412-4E9E-BA79-331FB2E09AAE}">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www.sumproduct.com/" TargetMode="External"/><Relationship Id="rId2" Type="http://schemas.openxmlformats.org/officeDocument/2006/relationships/hyperlink" Target="mailto:talia.cao@sumproduct.com" TargetMode="External"/><Relationship Id="rId1" Type="http://schemas.openxmlformats.org/officeDocument/2006/relationships/hyperlink" Target="http://www.linkedin.com/in/caongocdatha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CDC8-3F6B-40E2-BE68-0AE3B7927E24}">
  <sheetPr codeName="Sheet1">
    <tabColor rgb="FF215967"/>
  </sheetPr>
  <dimension ref="A1:N17"/>
  <sheetViews>
    <sheetView showGridLines="0" tabSelected="1" zoomScale="130" zoomScaleNormal="130" workbookViewId="0"/>
  </sheetViews>
  <sheetFormatPr defaultColWidth="0" defaultRowHeight="15" zeroHeight="1" x14ac:dyDescent="0.25"/>
  <cols>
    <col min="1" max="1" width="3.7109375" customWidth="1"/>
    <col min="2" max="11" width="8.85546875" customWidth="1"/>
    <col min="12" max="12" width="11.7109375" customWidth="1"/>
    <col min="13" max="13" width="70.28515625" customWidth="1"/>
    <col min="14" max="14" width="8.85546875" customWidth="1"/>
    <col min="15" max="16384" width="8.85546875" hidden="1"/>
  </cols>
  <sheetData>
    <row r="1" spans="12:13" x14ac:dyDescent="0.25"/>
    <row r="2" spans="12:13" x14ac:dyDescent="0.25"/>
    <row r="3" spans="12:13" ht="18.75" x14ac:dyDescent="0.3">
      <c r="L3" t="s">
        <v>24</v>
      </c>
      <c r="M3" s="23" t="s">
        <v>43</v>
      </c>
    </row>
    <row r="4" spans="12:13" x14ac:dyDescent="0.25">
      <c r="L4" t="s">
        <v>23</v>
      </c>
      <c r="M4" s="24" t="s">
        <v>22</v>
      </c>
    </row>
    <row r="5" spans="12:13" x14ac:dyDescent="0.25"/>
    <row r="6" spans="12:13" ht="202.5" x14ac:dyDescent="0.25">
      <c r="L6" s="28" t="s">
        <v>21</v>
      </c>
      <c r="M6" s="8" t="s">
        <v>44</v>
      </c>
    </row>
    <row r="7" spans="12:13" x14ac:dyDescent="0.25"/>
    <row r="8" spans="12:13" x14ac:dyDescent="0.25">
      <c r="L8" t="s">
        <v>20</v>
      </c>
    </row>
    <row r="9" spans="12:13" x14ac:dyDescent="0.25">
      <c r="L9" s="7" t="s">
        <v>19</v>
      </c>
      <c r="M9" s="6" t="s">
        <v>18</v>
      </c>
    </row>
    <row r="10" spans="12:13" x14ac:dyDescent="0.25">
      <c r="L10" s="7" t="s">
        <v>17</v>
      </c>
      <c r="M10" s="6" t="s">
        <v>16</v>
      </c>
    </row>
    <row r="11" spans="12:13" x14ac:dyDescent="0.25">
      <c r="L11" s="7" t="s">
        <v>15</v>
      </c>
      <c r="M11" s="6" t="s">
        <v>14</v>
      </c>
    </row>
    <row r="12" spans="12:13" x14ac:dyDescent="0.25"/>
    <row r="13" spans="12:13" x14ac:dyDescent="0.25"/>
    <row r="14" spans="12:13" x14ac:dyDescent="0.25"/>
    <row r="15" spans="12:13" x14ac:dyDescent="0.25"/>
    <row r="16" spans="12:13" x14ac:dyDescent="0.25"/>
    <row r="17" x14ac:dyDescent="0.25"/>
  </sheetData>
  <hyperlinks>
    <hyperlink ref="M9" r:id="rId1" display="http://www.linkedin.com/in/caongocdathao/" xr:uid="{093BC148-3A15-4FB5-9C5C-63046EE18FCA}"/>
    <hyperlink ref="M10" r:id="rId2" display="mailto:talia.cao@sumproduct.com" xr:uid="{94C437CC-DC33-4086-9509-AD7F43E85123}"/>
    <hyperlink ref="M11" r:id="rId3" display="http://www.sumproduct.com/" xr:uid="{274DBF31-2E9E-4449-B550-DF96D944084B}"/>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996D-D1CD-4D7C-AC78-21C9C3FCC377}">
  <sheetPr codeName="Sheet2">
    <tabColor rgb="FFDAEEF3"/>
  </sheetPr>
  <dimension ref="B2:M1005"/>
  <sheetViews>
    <sheetView showGridLines="0" zoomScale="145" zoomScaleNormal="145" workbookViewId="0">
      <pane ySplit="5" topLeftCell="A6" activePane="bottomLeft" state="frozen"/>
      <selection pane="bottomLeft"/>
    </sheetView>
  </sheetViews>
  <sheetFormatPr defaultRowHeight="15" x14ac:dyDescent="0.25"/>
  <cols>
    <col min="1" max="2" width="3.7109375" customWidth="1"/>
    <col min="3" max="3" width="10.140625" customWidth="1"/>
    <col min="4" max="4" width="8.7109375" customWidth="1"/>
    <col min="5" max="7" width="10.140625" customWidth="1"/>
    <col min="8" max="8" width="14" bestFit="1" customWidth="1"/>
    <col min="9" max="9" width="19.5703125" bestFit="1" customWidth="1"/>
    <col min="10" max="10" width="4.7109375" customWidth="1"/>
    <col min="11" max="11" width="22.5703125" customWidth="1"/>
    <col min="12" max="12" width="4.7109375" customWidth="1"/>
    <col min="13" max="13" width="21.7109375" bestFit="1" customWidth="1"/>
  </cols>
  <sheetData>
    <row r="2" spans="2:13" x14ac:dyDescent="0.25">
      <c r="B2" s="22" t="s">
        <v>36</v>
      </c>
    </row>
    <row r="3" spans="2:13" ht="20.25" x14ac:dyDescent="0.3">
      <c r="B3" s="10" t="s">
        <v>3</v>
      </c>
    </row>
    <row r="4" spans="2:13" x14ac:dyDescent="0.25">
      <c r="I4" s="12" t="s">
        <v>10</v>
      </c>
      <c r="K4" s="12" t="s">
        <v>8</v>
      </c>
      <c r="M4" s="12" t="s">
        <v>9</v>
      </c>
    </row>
    <row r="5" spans="2:13" x14ac:dyDescent="0.25">
      <c r="C5" s="11" t="s">
        <v>0</v>
      </c>
      <c r="E5" s="11" t="s">
        <v>1</v>
      </c>
      <c r="F5" s="11" t="s">
        <v>5</v>
      </c>
      <c r="G5" s="11" t="s">
        <v>6</v>
      </c>
      <c r="H5" s="11" t="s">
        <v>2</v>
      </c>
    </row>
    <row r="6" spans="2:13" x14ac:dyDescent="0.25">
      <c r="C6" s="3">
        <v>501</v>
      </c>
      <c r="E6" s="13"/>
      <c r="F6" s="13"/>
      <c r="G6" s="13"/>
    </row>
    <row r="7" spans="2:13" x14ac:dyDescent="0.25">
      <c r="C7" s="3">
        <v>834</v>
      </c>
      <c r="E7" s="13"/>
      <c r="F7" s="2"/>
      <c r="G7" s="13"/>
    </row>
    <row r="8" spans="2:13" x14ac:dyDescent="0.25">
      <c r="C8" s="3">
        <v>902</v>
      </c>
      <c r="E8" s="13"/>
      <c r="F8" s="2"/>
      <c r="G8" s="13"/>
    </row>
    <row r="9" spans="2:13" x14ac:dyDescent="0.25">
      <c r="C9" s="3">
        <v>523</v>
      </c>
      <c r="E9" s="13"/>
      <c r="F9" s="2"/>
      <c r="G9" s="13"/>
    </row>
    <row r="10" spans="2:13" x14ac:dyDescent="0.25">
      <c r="C10" s="3">
        <v>560</v>
      </c>
      <c r="E10" s="13"/>
      <c r="F10" s="2"/>
      <c r="G10" s="13"/>
    </row>
    <row r="11" spans="2:13" x14ac:dyDescent="0.25">
      <c r="C11" s="3">
        <v>872</v>
      </c>
      <c r="E11" s="13"/>
      <c r="F11" s="2"/>
      <c r="G11" s="13"/>
    </row>
    <row r="12" spans="2:13" x14ac:dyDescent="0.25">
      <c r="C12" s="3">
        <v>475</v>
      </c>
      <c r="E12" s="13"/>
      <c r="F12" s="2"/>
      <c r="G12" s="13"/>
    </row>
    <row r="13" spans="2:13" x14ac:dyDescent="0.25">
      <c r="C13" s="3">
        <v>362</v>
      </c>
      <c r="E13" s="13"/>
      <c r="F13" s="2"/>
      <c r="G13" s="13"/>
    </row>
    <row r="14" spans="2:13" x14ac:dyDescent="0.25">
      <c r="C14" s="3">
        <v>313</v>
      </c>
      <c r="E14" s="13"/>
      <c r="F14" s="2"/>
      <c r="G14" s="13"/>
    </row>
    <row r="15" spans="2:13" x14ac:dyDescent="0.25">
      <c r="C15" s="3">
        <v>409</v>
      </c>
      <c r="E15" s="13"/>
      <c r="F15" s="2"/>
      <c r="G15" s="13"/>
    </row>
    <row r="16" spans="2:13" x14ac:dyDescent="0.25">
      <c r="B16" s="1">
        <v>269</v>
      </c>
    </row>
    <row r="17" spans="2:7" x14ac:dyDescent="0.25">
      <c r="B17" s="1">
        <v>934</v>
      </c>
      <c r="E17" s="12" t="str">
        <f ca="1">_xlfn.IFNA(_xlfn.FORMULATEXT(E$6),"")</f>
        <v/>
      </c>
    </row>
    <row r="18" spans="2:7" x14ac:dyDescent="0.25">
      <c r="B18" s="1">
        <v>28</v>
      </c>
    </row>
    <row r="19" spans="2:7" x14ac:dyDescent="0.25">
      <c r="B19" s="1">
        <v>822</v>
      </c>
      <c r="F19" s="12" t="str">
        <f ca="1">_xlfn.IFNA(_xlfn.FORMULATEXT(F$6),"")</f>
        <v/>
      </c>
    </row>
    <row r="20" spans="2:7" x14ac:dyDescent="0.25">
      <c r="B20" s="1">
        <v>197</v>
      </c>
    </row>
    <row r="21" spans="2:7" x14ac:dyDescent="0.25">
      <c r="B21" s="1">
        <v>863</v>
      </c>
      <c r="G21" s="12" t="str">
        <f ca="1">_xlfn.IFNA(_xlfn.FORMULATEXT(G$6),"")</f>
        <v/>
      </c>
    </row>
    <row r="22" spans="2:7" x14ac:dyDescent="0.25">
      <c r="B22" s="1">
        <v>929</v>
      </c>
    </row>
    <row r="23" spans="2:7" x14ac:dyDescent="0.25">
      <c r="B23" s="1">
        <v>343</v>
      </c>
    </row>
    <row r="24" spans="2:7" x14ac:dyDescent="0.25">
      <c r="B24" s="1">
        <v>466</v>
      </c>
    </row>
    <row r="25" spans="2:7" x14ac:dyDescent="0.25">
      <c r="B25" s="1">
        <v>987</v>
      </c>
    </row>
    <row r="26" spans="2:7" x14ac:dyDescent="0.25">
      <c r="B26" s="1">
        <v>343</v>
      </c>
    </row>
    <row r="27" spans="2:7" x14ac:dyDescent="0.25">
      <c r="B27" s="1">
        <v>25</v>
      </c>
    </row>
    <row r="28" spans="2:7" x14ac:dyDescent="0.25">
      <c r="B28" s="1">
        <v>381</v>
      </c>
    </row>
    <row r="29" spans="2:7" x14ac:dyDescent="0.25">
      <c r="B29" s="1">
        <v>816</v>
      </c>
    </row>
    <row r="30" spans="2:7" x14ac:dyDescent="0.25">
      <c r="B30" s="1">
        <v>99</v>
      </c>
    </row>
    <row r="31" spans="2:7" x14ac:dyDescent="0.25">
      <c r="B31" s="1">
        <v>558</v>
      </c>
    </row>
    <row r="32" spans="2:7" x14ac:dyDescent="0.25">
      <c r="B32" s="1">
        <v>818</v>
      </c>
    </row>
    <row r="33" spans="2:2" x14ac:dyDescent="0.25">
      <c r="B33" s="1">
        <v>655</v>
      </c>
    </row>
    <row r="34" spans="2:2" x14ac:dyDescent="0.25">
      <c r="B34" s="1">
        <v>658</v>
      </c>
    </row>
    <row r="35" spans="2:2" x14ac:dyDescent="0.25">
      <c r="B35" s="1">
        <v>915</v>
      </c>
    </row>
    <row r="36" spans="2:2" x14ac:dyDescent="0.25">
      <c r="B36" s="1">
        <v>73</v>
      </c>
    </row>
    <row r="37" spans="2:2" x14ac:dyDescent="0.25">
      <c r="B37" s="1">
        <v>484</v>
      </c>
    </row>
    <row r="38" spans="2:2" x14ac:dyDescent="0.25">
      <c r="B38" s="1">
        <v>257</v>
      </c>
    </row>
    <row r="39" spans="2:2" x14ac:dyDescent="0.25">
      <c r="B39" s="1">
        <v>346</v>
      </c>
    </row>
    <row r="40" spans="2:2" x14ac:dyDescent="0.25">
      <c r="B40" s="1">
        <v>477</v>
      </c>
    </row>
    <row r="41" spans="2:2" x14ac:dyDescent="0.25">
      <c r="B41" s="1">
        <v>312</v>
      </c>
    </row>
    <row r="42" spans="2:2" x14ac:dyDescent="0.25">
      <c r="B42" s="1">
        <v>828</v>
      </c>
    </row>
    <row r="43" spans="2:2" x14ac:dyDescent="0.25">
      <c r="B43" s="1">
        <v>518</v>
      </c>
    </row>
    <row r="44" spans="2:2" x14ac:dyDescent="0.25">
      <c r="B44" s="1">
        <v>841</v>
      </c>
    </row>
    <row r="45" spans="2:2" x14ac:dyDescent="0.25">
      <c r="B45" s="1">
        <v>601</v>
      </c>
    </row>
    <row r="46" spans="2:2" x14ac:dyDescent="0.25">
      <c r="B46" s="1">
        <v>812</v>
      </c>
    </row>
    <row r="47" spans="2:2" x14ac:dyDescent="0.25">
      <c r="B47" s="1">
        <v>463</v>
      </c>
    </row>
    <row r="48" spans="2:2" x14ac:dyDescent="0.25">
      <c r="B48" s="1">
        <v>514</v>
      </c>
    </row>
    <row r="49" spans="2:2" x14ac:dyDescent="0.25">
      <c r="B49" s="1">
        <v>881</v>
      </c>
    </row>
    <row r="50" spans="2:2" x14ac:dyDescent="0.25">
      <c r="B50" s="1">
        <v>282</v>
      </c>
    </row>
    <row r="51" spans="2:2" x14ac:dyDescent="0.25">
      <c r="B51" s="1">
        <v>777</v>
      </c>
    </row>
    <row r="52" spans="2:2" x14ac:dyDescent="0.25">
      <c r="B52" s="1">
        <v>627</v>
      </c>
    </row>
    <row r="53" spans="2:2" x14ac:dyDescent="0.25">
      <c r="B53" s="1">
        <v>707</v>
      </c>
    </row>
    <row r="54" spans="2:2" x14ac:dyDescent="0.25">
      <c r="B54" s="1">
        <v>619</v>
      </c>
    </row>
    <row r="55" spans="2:2" x14ac:dyDescent="0.25">
      <c r="B55" s="1">
        <v>319</v>
      </c>
    </row>
    <row r="56" spans="2:2" x14ac:dyDescent="0.25">
      <c r="B56" s="1">
        <v>784</v>
      </c>
    </row>
    <row r="57" spans="2:2" x14ac:dyDescent="0.25">
      <c r="B57" s="1">
        <v>829</v>
      </c>
    </row>
    <row r="58" spans="2:2" x14ac:dyDescent="0.25">
      <c r="B58" s="1">
        <v>866</v>
      </c>
    </row>
    <row r="59" spans="2:2" x14ac:dyDescent="0.25">
      <c r="B59" s="1">
        <v>308</v>
      </c>
    </row>
    <row r="60" spans="2:2" x14ac:dyDescent="0.25">
      <c r="B60" s="1">
        <v>110</v>
      </c>
    </row>
    <row r="61" spans="2:2" x14ac:dyDescent="0.25">
      <c r="B61" s="1">
        <v>886</v>
      </c>
    </row>
    <row r="62" spans="2:2" x14ac:dyDescent="0.25">
      <c r="B62" s="1">
        <v>608</v>
      </c>
    </row>
    <row r="63" spans="2:2" x14ac:dyDescent="0.25">
      <c r="B63" s="1">
        <v>15</v>
      </c>
    </row>
    <row r="64" spans="2:2" x14ac:dyDescent="0.25">
      <c r="B64" s="1">
        <v>489</v>
      </c>
    </row>
    <row r="65" spans="2:2" x14ac:dyDescent="0.25">
      <c r="B65" s="1">
        <v>571</v>
      </c>
    </row>
    <row r="66" spans="2:2" x14ac:dyDescent="0.25">
      <c r="B66" s="1">
        <v>408</v>
      </c>
    </row>
    <row r="67" spans="2:2" x14ac:dyDescent="0.25">
      <c r="B67" s="1">
        <v>982</v>
      </c>
    </row>
    <row r="68" spans="2:2" x14ac:dyDescent="0.25">
      <c r="B68" s="1">
        <v>290</v>
      </c>
    </row>
    <row r="69" spans="2:2" x14ac:dyDescent="0.25">
      <c r="B69" s="1">
        <v>299</v>
      </c>
    </row>
    <row r="70" spans="2:2" x14ac:dyDescent="0.25">
      <c r="B70" s="1">
        <v>23</v>
      </c>
    </row>
    <row r="71" spans="2:2" x14ac:dyDescent="0.25">
      <c r="B71" s="1">
        <v>804</v>
      </c>
    </row>
    <row r="72" spans="2:2" x14ac:dyDescent="0.25">
      <c r="B72" s="1">
        <v>956</v>
      </c>
    </row>
    <row r="73" spans="2:2" x14ac:dyDescent="0.25">
      <c r="B73" s="1">
        <v>637</v>
      </c>
    </row>
    <row r="74" spans="2:2" x14ac:dyDescent="0.25">
      <c r="B74" s="1">
        <v>181</v>
      </c>
    </row>
    <row r="75" spans="2:2" x14ac:dyDescent="0.25">
      <c r="B75" s="1">
        <v>499</v>
      </c>
    </row>
    <row r="76" spans="2:2" x14ac:dyDescent="0.25">
      <c r="B76" s="1">
        <v>87</v>
      </c>
    </row>
    <row r="77" spans="2:2" x14ac:dyDescent="0.25">
      <c r="B77" s="1">
        <v>689</v>
      </c>
    </row>
    <row r="78" spans="2:2" x14ac:dyDescent="0.25">
      <c r="B78" s="1">
        <v>346</v>
      </c>
    </row>
    <row r="79" spans="2:2" x14ac:dyDescent="0.25">
      <c r="B79" s="1">
        <v>909</v>
      </c>
    </row>
    <row r="80" spans="2:2" x14ac:dyDescent="0.25">
      <c r="B80" s="1">
        <v>897</v>
      </c>
    </row>
    <row r="81" spans="2:2" x14ac:dyDescent="0.25">
      <c r="B81" s="1">
        <v>609</v>
      </c>
    </row>
    <row r="82" spans="2:2" x14ac:dyDescent="0.25">
      <c r="B82" s="1">
        <v>438</v>
      </c>
    </row>
    <row r="83" spans="2:2" x14ac:dyDescent="0.25">
      <c r="B83" s="1">
        <v>513</v>
      </c>
    </row>
    <row r="84" spans="2:2" x14ac:dyDescent="0.25">
      <c r="B84" s="1">
        <v>417</v>
      </c>
    </row>
    <row r="85" spans="2:2" x14ac:dyDescent="0.25">
      <c r="B85" s="1">
        <v>765</v>
      </c>
    </row>
    <row r="86" spans="2:2" x14ac:dyDescent="0.25">
      <c r="B86" s="1">
        <v>247</v>
      </c>
    </row>
    <row r="87" spans="2:2" x14ac:dyDescent="0.25">
      <c r="B87" s="1">
        <v>234</v>
      </c>
    </row>
    <row r="88" spans="2:2" x14ac:dyDescent="0.25">
      <c r="B88" s="1">
        <v>110</v>
      </c>
    </row>
    <row r="89" spans="2:2" x14ac:dyDescent="0.25">
      <c r="B89" s="1">
        <v>246</v>
      </c>
    </row>
    <row r="90" spans="2:2" x14ac:dyDescent="0.25">
      <c r="B90" s="1">
        <v>556</v>
      </c>
    </row>
    <row r="91" spans="2:2" x14ac:dyDescent="0.25">
      <c r="B91" s="1">
        <v>14</v>
      </c>
    </row>
    <row r="92" spans="2:2" x14ac:dyDescent="0.25">
      <c r="B92" s="1">
        <v>8</v>
      </c>
    </row>
    <row r="93" spans="2:2" x14ac:dyDescent="0.25">
      <c r="B93" s="1">
        <v>634</v>
      </c>
    </row>
    <row r="94" spans="2:2" x14ac:dyDescent="0.25">
      <c r="B94" s="1">
        <v>1000</v>
      </c>
    </row>
    <row r="95" spans="2:2" x14ac:dyDescent="0.25">
      <c r="B95" s="1">
        <v>429</v>
      </c>
    </row>
    <row r="96" spans="2:2" x14ac:dyDescent="0.25">
      <c r="B96" s="1">
        <v>164</v>
      </c>
    </row>
    <row r="97" spans="2:2" x14ac:dyDescent="0.25">
      <c r="B97" s="1">
        <v>681</v>
      </c>
    </row>
    <row r="98" spans="2:2" x14ac:dyDescent="0.25">
      <c r="B98" s="1">
        <v>90</v>
      </c>
    </row>
    <row r="99" spans="2:2" x14ac:dyDescent="0.25">
      <c r="B99" s="1">
        <v>886</v>
      </c>
    </row>
    <row r="100" spans="2:2" x14ac:dyDescent="0.25">
      <c r="B100" s="1">
        <v>321</v>
      </c>
    </row>
    <row r="101" spans="2:2" x14ac:dyDescent="0.25">
      <c r="B101" s="1">
        <v>778</v>
      </c>
    </row>
    <row r="102" spans="2:2" x14ac:dyDescent="0.25">
      <c r="B102" s="1">
        <v>546</v>
      </c>
    </row>
    <row r="103" spans="2:2" x14ac:dyDescent="0.25">
      <c r="B103" s="1">
        <v>438</v>
      </c>
    </row>
    <row r="104" spans="2:2" x14ac:dyDescent="0.25">
      <c r="B104" s="1">
        <v>784</v>
      </c>
    </row>
    <row r="105" spans="2:2" x14ac:dyDescent="0.25">
      <c r="B105" s="1">
        <v>896</v>
      </c>
    </row>
    <row r="106" spans="2:2" x14ac:dyDescent="0.25">
      <c r="B106" s="1">
        <v>976</v>
      </c>
    </row>
    <row r="107" spans="2:2" x14ac:dyDescent="0.25">
      <c r="B107" s="1">
        <v>738</v>
      </c>
    </row>
    <row r="108" spans="2:2" x14ac:dyDescent="0.25">
      <c r="B108" s="1">
        <v>993</v>
      </c>
    </row>
    <row r="109" spans="2:2" x14ac:dyDescent="0.25">
      <c r="B109" s="1">
        <v>463</v>
      </c>
    </row>
    <row r="110" spans="2:2" x14ac:dyDescent="0.25">
      <c r="B110" s="1">
        <v>682</v>
      </c>
    </row>
    <row r="111" spans="2:2" x14ac:dyDescent="0.25">
      <c r="B111" s="1">
        <v>418</v>
      </c>
    </row>
    <row r="112" spans="2:2" x14ac:dyDescent="0.25">
      <c r="B112" s="1">
        <v>360</v>
      </c>
    </row>
    <row r="113" spans="2:2" x14ac:dyDescent="0.25">
      <c r="B113" s="1">
        <v>437</v>
      </c>
    </row>
    <row r="114" spans="2:2" x14ac:dyDescent="0.25">
      <c r="B114" s="1">
        <v>627</v>
      </c>
    </row>
    <row r="115" spans="2:2" x14ac:dyDescent="0.25">
      <c r="B115" s="1">
        <v>819</v>
      </c>
    </row>
    <row r="116" spans="2:2" x14ac:dyDescent="0.25">
      <c r="B116" s="1">
        <v>450</v>
      </c>
    </row>
    <row r="117" spans="2:2" x14ac:dyDescent="0.25">
      <c r="B117" s="1">
        <v>719</v>
      </c>
    </row>
    <row r="118" spans="2:2" x14ac:dyDescent="0.25">
      <c r="B118" s="1">
        <v>214</v>
      </c>
    </row>
    <row r="119" spans="2:2" x14ac:dyDescent="0.25">
      <c r="B119" s="1">
        <v>509</v>
      </c>
    </row>
    <row r="120" spans="2:2" x14ac:dyDescent="0.25">
      <c r="B120" s="1">
        <v>798</v>
      </c>
    </row>
    <row r="121" spans="2:2" x14ac:dyDescent="0.25">
      <c r="B121" s="1">
        <v>975</v>
      </c>
    </row>
    <row r="122" spans="2:2" x14ac:dyDescent="0.25">
      <c r="B122" s="1">
        <v>999</v>
      </c>
    </row>
    <row r="123" spans="2:2" x14ac:dyDescent="0.25">
      <c r="B123" s="1">
        <v>721</v>
      </c>
    </row>
    <row r="124" spans="2:2" x14ac:dyDescent="0.25">
      <c r="B124" s="1">
        <v>192</v>
      </c>
    </row>
    <row r="125" spans="2:2" x14ac:dyDescent="0.25">
      <c r="B125" s="1">
        <v>33</v>
      </c>
    </row>
    <row r="126" spans="2:2" x14ac:dyDescent="0.25">
      <c r="B126" s="1">
        <v>774</v>
      </c>
    </row>
    <row r="127" spans="2:2" x14ac:dyDescent="0.25">
      <c r="B127" s="1">
        <v>168</v>
      </c>
    </row>
    <row r="128" spans="2:2" x14ac:dyDescent="0.25">
      <c r="B128" s="1">
        <v>887</v>
      </c>
    </row>
    <row r="129" spans="2:2" x14ac:dyDescent="0.25">
      <c r="B129" s="1">
        <v>655</v>
      </c>
    </row>
    <row r="130" spans="2:2" x14ac:dyDescent="0.25">
      <c r="B130" s="1">
        <v>175</v>
      </c>
    </row>
    <row r="131" spans="2:2" x14ac:dyDescent="0.25">
      <c r="B131" s="1">
        <v>901</v>
      </c>
    </row>
    <row r="132" spans="2:2" x14ac:dyDescent="0.25">
      <c r="B132" s="1">
        <v>837</v>
      </c>
    </row>
    <row r="133" spans="2:2" x14ac:dyDescent="0.25">
      <c r="B133" s="1">
        <v>734</v>
      </c>
    </row>
    <row r="134" spans="2:2" x14ac:dyDescent="0.25">
      <c r="B134" s="1">
        <v>983</v>
      </c>
    </row>
    <row r="135" spans="2:2" x14ac:dyDescent="0.25">
      <c r="B135" s="1">
        <v>253</v>
      </c>
    </row>
    <row r="136" spans="2:2" x14ac:dyDescent="0.25">
      <c r="B136" s="1">
        <v>788</v>
      </c>
    </row>
    <row r="137" spans="2:2" x14ac:dyDescent="0.25">
      <c r="B137" s="1">
        <v>923</v>
      </c>
    </row>
    <row r="138" spans="2:2" x14ac:dyDescent="0.25">
      <c r="B138" s="1">
        <v>378</v>
      </c>
    </row>
    <row r="139" spans="2:2" x14ac:dyDescent="0.25">
      <c r="B139" s="1">
        <v>342</v>
      </c>
    </row>
    <row r="140" spans="2:2" x14ac:dyDescent="0.25">
      <c r="B140" s="1">
        <v>663</v>
      </c>
    </row>
    <row r="141" spans="2:2" x14ac:dyDescent="0.25">
      <c r="B141" s="1">
        <v>809</v>
      </c>
    </row>
    <row r="142" spans="2:2" x14ac:dyDescent="0.25">
      <c r="B142" s="1">
        <v>49</v>
      </c>
    </row>
    <row r="143" spans="2:2" x14ac:dyDescent="0.25">
      <c r="B143" s="1">
        <v>456</v>
      </c>
    </row>
    <row r="144" spans="2:2" x14ac:dyDescent="0.25">
      <c r="B144" s="1">
        <v>23</v>
      </c>
    </row>
    <row r="145" spans="2:2" x14ac:dyDescent="0.25">
      <c r="B145" s="1">
        <v>676</v>
      </c>
    </row>
    <row r="146" spans="2:2" x14ac:dyDescent="0.25">
      <c r="B146" s="1">
        <v>888</v>
      </c>
    </row>
    <row r="147" spans="2:2" x14ac:dyDescent="0.25">
      <c r="B147" s="1">
        <v>705</v>
      </c>
    </row>
    <row r="148" spans="2:2" x14ac:dyDescent="0.25">
      <c r="B148" s="1">
        <v>63</v>
      </c>
    </row>
    <row r="149" spans="2:2" x14ac:dyDescent="0.25">
      <c r="B149" s="1">
        <v>90</v>
      </c>
    </row>
    <row r="150" spans="2:2" x14ac:dyDescent="0.25">
      <c r="B150" s="1">
        <v>818</v>
      </c>
    </row>
    <row r="151" spans="2:2" x14ac:dyDescent="0.25">
      <c r="B151" s="1">
        <v>688</v>
      </c>
    </row>
    <row r="152" spans="2:2" x14ac:dyDescent="0.25">
      <c r="B152" s="1">
        <v>888</v>
      </c>
    </row>
    <row r="153" spans="2:2" x14ac:dyDescent="0.25">
      <c r="B153" s="1">
        <v>128</v>
      </c>
    </row>
    <row r="154" spans="2:2" x14ac:dyDescent="0.25">
      <c r="B154" s="1">
        <v>300</v>
      </c>
    </row>
    <row r="155" spans="2:2" x14ac:dyDescent="0.25">
      <c r="B155" s="1">
        <v>386</v>
      </c>
    </row>
    <row r="156" spans="2:2" x14ac:dyDescent="0.25">
      <c r="B156" s="1">
        <v>835</v>
      </c>
    </row>
    <row r="157" spans="2:2" x14ac:dyDescent="0.25">
      <c r="B157" s="1">
        <v>532</v>
      </c>
    </row>
    <row r="158" spans="2:2" x14ac:dyDescent="0.25">
      <c r="B158" s="1">
        <v>653</v>
      </c>
    </row>
    <row r="159" spans="2:2" x14ac:dyDescent="0.25">
      <c r="B159" s="1">
        <v>638</v>
      </c>
    </row>
    <row r="160" spans="2:2" x14ac:dyDescent="0.25">
      <c r="B160" s="1">
        <v>255</v>
      </c>
    </row>
    <row r="161" spans="2:2" x14ac:dyDescent="0.25">
      <c r="B161" s="1">
        <v>270</v>
      </c>
    </row>
    <row r="162" spans="2:2" x14ac:dyDescent="0.25">
      <c r="B162" s="1">
        <v>511</v>
      </c>
    </row>
    <row r="163" spans="2:2" x14ac:dyDescent="0.25">
      <c r="B163" s="1">
        <v>232</v>
      </c>
    </row>
    <row r="164" spans="2:2" x14ac:dyDescent="0.25">
      <c r="B164" s="1">
        <v>141</v>
      </c>
    </row>
    <row r="165" spans="2:2" x14ac:dyDescent="0.25">
      <c r="B165" s="1">
        <v>255</v>
      </c>
    </row>
    <row r="166" spans="2:2" x14ac:dyDescent="0.25">
      <c r="B166" s="1">
        <v>46</v>
      </c>
    </row>
    <row r="167" spans="2:2" x14ac:dyDescent="0.25">
      <c r="B167" s="1">
        <v>523</v>
      </c>
    </row>
    <row r="168" spans="2:2" x14ac:dyDescent="0.25">
      <c r="B168" s="1">
        <v>262</v>
      </c>
    </row>
    <row r="169" spans="2:2" x14ac:dyDescent="0.25">
      <c r="B169" s="1">
        <v>948</v>
      </c>
    </row>
    <row r="170" spans="2:2" x14ac:dyDescent="0.25">
      <c r="B170" s="1">
        <v>957</v>
      </c>
    </row>
    <row r="171" spans="2:2" x14ac:dyDescent="0.25">
      <c r="B171" s="1">
        <v>165</v>
      </c>
    </row>
    <row r="172" spans="2:2" x14ac:dyDescent="0.25">
      <c r="B172" s="1">
        <v>989</v>
      </c>
    </row>
    <row r="173" spans="2:2" x14ac:dyDescent="0.25">
      <c r="B173" s="1">
        <v>245</v>
      </c>
    </row>
    <row r="174" spans="2:2" x14ac:dyDescent="0.25">
      <c r="B174" s="1">
        <v>81</v>
      </c>
    </row>
    <row r="175" spans="2:2" x14ac:dyDescent="0.25">
      <c r="B175" s="1">
        <v>958</v>
      </c>
    </row>
    <row r="176" spans="2:2" x14ac:dyDescent="0.25">
      <c r="B176" s="1">
        <v>359</v>
      </c>
    </row>
    <row r="177" spans="2:2" x14ac:dyDescent="0.25">
      <c r="B177" s="1">
        <v>247</v>
      </c>
    </row>
    <row r="178" spans="2:2" x14ac:dyDescent="0.25">
      <c r="B178" s="1">
        <v>691</v>
      </c>
    </row>
    <row r="179" spans="2:2" x14ac:dyDescent="0.25">
      <c r="B179" s="1">
        <v>189</v>
      </c>
    </row>
    <row r="180" spans="2:2" x14ac:dyDescent="0.25">
      <c r="B180" s="1">
        <v>536</v>
      </c>
    </row>
    <row r="181" spans="2:2" x14ac:dyDescent="0.25">
      <c r="B181" s="1">
        <v>599</v>
      </c>
    </row>
    <row r="182" spans="2:2" x14ac:dyDescent="0.25">
      <c r="B182" s="1">
        <v>269</v>
      </c>
    </row>
    <row r="183" spans="2:2" x14ac:dyDescent="0.25">
      <c r="B183" s="1">
        <v>803</v>
      </c>
    </row>
    <row r="184" spans="2:2" x14ac:dyDescent="0.25">
      <c r="B184" s="1">
        <v>735</v>
      </c>
    </row>
    <row r="185" spans="2:2" x14ac:dyDescent="0.25">
      <c r="B185" s="1">
        <v>920</v>
      </c>
    </row>
    <row r="186" spans="2:2" x14ac:dyDescent="0.25">
      <c r="B186" s="1">
        <v>289</v>
      </c>
    </row>
    <row r="187" spans="2:2" x14ac:dyDescent="0.25">
      <c r="B187" s="1">
        <v>325</v>
      </c>
    </row>
    <row r="188" spans="2:2" x14ac:dyDescent="0.25">
      <c r="B188" s="1">
        <v>650</v>
      </c>
    </row>
    <row r="189" spans="2:2" x14ac:dyDescent="0.25">
      <c r="B189" s="1">
        <v>562</v>
      </c>
    </row>
    <row r="190" spans="2:2" x14ac:dyDescent="0.25">
      <c r="B190" s="1">
        <v>723</v>
      </c>
    </row>
    <row r="191" spans="2:2" x14ac:dyDescent="0.25">
      <c r="B191" s="1">
        <v>377</v>
      </c>
    </row>
    <row r="192" spans="2:2" x14ac:dyDescent="0.25">
      <c r="B192" s="1">
        <v>388</v>
      </c>
    </row>
    <row r="193" spans="2:2" x14ac:dyDescent="0.25">
      <c r="B193" s="1">
        <v>626</v>
      </c>
    </row>
    <row r="194" spans="2:2" x14ac:dyDescent="0.25">
      <c r="B194" s="1">
        <v>989</v>
      </c>
    </row>
    <row r="195" spans="2:2" x14ac:dyDescent="0.25">
      <c r="B195" s="1">
        <v>198</v>
      </c>
    </row>
    <row r="196" spans="2:2" x14ac:dyDescent="0.25">
      <c r="B196" s="1">
        <v>989</v>
      </c>
    </row>
    <row r="197" spans="2:2" x14ac:dyDescent="0.25">
      <c r="B197" s="1">
        <v>22</v>
      </c>
    </row>
    <row r="198" spans="2:2" x14ac:dyDescent="0.25">
      <c r="B198" s="1">
        <v>608</v>
      </c>
    </row>
    <row r="199" spans="2:2" x14ac:dyDescent="0.25">
      <c r="B199" s="1">
        <v>80</v>
      </c>
    </row>
    <row r="200" spans="2:2" x14ac:dyDescent="0.25">
      <c r="B200" s="1">
        <v>265</v>
      </c>
    </row>
    <row r="201" spans="2:2" x14ac:dyDescent="0.25">
      <c r="B201" s="1">
        <v>281</v>
      </c>
    </row>
    <row r="202" spans="2:2" x14ac:dyDescent="0.25">
      <c r="B202" s="1">
        <v>798</v>
      </c>
    </row>
    <row r="203" spans="2:2" x14ac:dyDescent="0.25">
      <c r="B203" s="1">
        <v>647</v>
      </c>
    </row>
    <row r="204" spans="2:2" x14ac:dyDescent="0.25">
      <c r="B204" s="1">
        <v>87</v>
      </c>
    </row>
    <row r="205" spans="2:2" x14ac:dyDescent="0.25">
      <c r="B205" s="1">
        <v>420</v>
      </c>
    </row>
    <row r="206" spans="2:2" x14ac:dyDescent="0.25">
      <c r="B206" s="1">
        <v>115</v>
      </c>
    </row>
    <row r="207" spans="2:2" x14ac:dyDescent="0.25">
      <c r="B207" s="1">
        <v>533</v>
      </c>
    </row>
    <row r="208" spans="2:2" x14ac:dyDescent="0.25">
      <c r="B208" s="1">
        <v>44</v>
      </c>
    </row>
    <row r="209" spans="2:2" x14ac:dyDescent="0.25">
      <c r="B209" s="1">
        <v>662</v>
      </c>
    </row>
    <row r="210" spans="2:2" x14ac:dyDescent="0.25">
      <c r="B210" s="1">
        <v>494</v>
      </c>
    </row>
    <row r="211" spans="2:2" x14ac:dyDescent="0.25">
      <c r="B211" s="1">
        <v>186</v>
      </c>
    </row>
    <row r="212" spans="2:2" x14ac:dyDescent="0.25">
      <c r="B212" s="1">
        <v>409</v>
      </c>
    </row>
    <row r="213" spans="2:2" x14ac:dyDescent="0.25">
      <c r="B213" s="1">
        <v>841</v>
      </c>
    </row>
    <row r="214" spans="2:2" x14ac:dyDescent="0.25">
      <c r="B214" s="1">
        <v>154</v>
      </c>
    </row>
    <row r="215" spans="2:2" x14ac:dyDescent="0.25">
      <c r="B215" s="1">
        <v>993</v>
      </c>
    </row>
    <row r="216" spans="2:2" x14ac:dyDescent="0.25">
      <c r="B216" s="1">
        <v>812</v>
      </c>
    </row>
    <row r="217" spans="2:2" x14ac:dyDescent="0.25">
      <c r="B217" s="1">
        <v>358</v>
      </c>
    </row>
    <row r="218" spans="2:2" x14ac:dyDescent="0.25">
      <c r="B218" s="1">
        <v>587</v>
      </c>
    </row>
    <row r="219" spans="2:2" x14ac:dyDescent="0.25">
      <c r="B219" s="1">
        <v>818</v>
      </c>
    </row>
    <row r="220" spans="2:2" x14ac:dyDescent="0.25">
      <c r="B220" s="1">
        <v>602</v>
      </c>
    </row>
    <row r="221" spans="2:2" x14ac:dyDescent="0.25">
      <c r="B221" s="1">
        <v>609</v>
      </c>
    </row>
    <row r="222" spans="2:2" x14ac:dyDescent="0.25">
      <c r="B222" s="1">
        <v>465</v>
      </c>
    </row>
    <row r="223" spans="2:2" x14ac:dyDescent="0.25">
      <c r="B223" s="1">
        <v>986</v>
      </c>
    </row>
    <row r="224" spans="2:2" x14ac:dyDescent="0.25">
      <c r="B224" s="1">
        <v>448</v>
      </c>
    </row>
    <row r="225" spans="2:2" x14ac:dyDescent="0.25">
      <c r="B225" s="1">
        <v>486</v>
      </c>
    </row>
    <row r="226" spans="2:2" x14ac:dyDescent="0.25">
      <c r="B226" s="1">
        <v>480</v>
      </c>
    </row>
    <row r="227" spans="2:2" x14ac:dyDescent="0.25">
      <c r="B227" s="1">
        <v>47</v>
      </c>
    </row>
    <row r="228" spans="2:2" x14ac:dyDescent="0.25">
      <c r="B228" s="1">
        <v>663</v>
      </c>
    </row>
    <row r="229" spans="2:2" x14ac:dyDescent="0.25">
      <c r="B229" s="1">
        <v>813</v>
      </c>
    </row>
    <row r="230" spans="2:2" x14ac:dyDescent="0.25">
      <c r="B230" s="1">
        <v>947</v>
      </c>
    </row>
    <row r="231" spans="2:2" x14ac:dyDescent="0.25">
      <c r="B231" s="1">
        <v>867</v>
      </c>
    </row>
    <row r="232" spans="2:2" x14ac:dyDescent="0.25">
      <c r="B232" s="1">
        <v>296</v>
      </c>
    </row>
    <row r="233" spans="2:2" x14ac:dyDescent="0.25">
      <c r="B233" s="1">
        <v>28</v>
      </c>
    </row>
    <row r="234" spans="2:2" x14ac:dyDescent="0.25">
      <c r="B234" s="1">
        <v>421</v>
      </c>
    </row>
    <row r="235" spans="2:2" x14ac:dyDescent="0.25">
      <c r="B235" s="1">
        <v>775</v>
      </c>
    </row>
    <row r="236" spans="2:2" x14ac:dyDescent="0.25">
      <c r="B236" s="1">
        <v>319</v>
      </c>
    </row>
    <row r="237" spans="2:2" x14ac:dyDescent="0.25">
      <c r="B237" s="1">
        <v>264</v>
      </c>
    </row>
    <row r="238" spans="2:2" x14ac:dyDescent="0.25">
      <c r="B238" s="1">
        <v>224</v>
      </c>
    </row>
    <row r="239" spans="2:2" x14ac:dyDescent="0.25">
      <c r="B239" s="1">
        <v>698</v>
      </c>
    </row>
    <row r="240" spans="2:2" x14ac:dyDescent="0.25">
      <c r="B240" s="1">
        <v>830</v>
      </c>
    </row>
    <row r="241" spans="2:2" x14ac:dyDescent="0.25">
      <c r="B241" s="1">
        <v>442</v>
      </c>
    </row>
    <row r="242" spans="2:2" x14ac:dyDescent="0.25">
      <c r="B242" s="1">
        <v>325</v>
      </c>
    </row>
    <row r="243" spans="2:2" x14ac:dyDescent="0.25">
      <c r="B243" s="1">
        <v>408</v>
      </c>
    </row>
    <row r="244" spans="2:2" x14ac:dyDescent="0.25">
      <c r="B244" s="1">
        <v>935</v>
      </c>
    </row>
    <row r="245" spans="2:2" x14ac:dyDescent="0.25">
      <c r="B245" s="1">
        <v>188</v>
      </c>
    </row>
    <row r="246" spans="2:2" x14ac:dyDescent="0.25">
      <c r="B246" s="1">
        <v>570</v>
      </c>
    </row>
    <row r="247" spans="2:2" x14ac:dyDescent="0.25">
      <c r="B247" s="1">
        <v>691</v>
      </c>
    </row>
    <row r="248" spans="2:2" x14ac:dyDescent="0.25">
      <c r="B248" s="1">
        <v>238</v>
      </c>
    </row>
    <row r="249" spans="2:2" x14ac:dyDescent="0.25">
      <c r="B249" s="1">
        <v>578</v>
      </c>
    </row>
    <row r="250" spans="2:2" x14ac:dyDescent="0.25">
      <c r="B250" s="1">
        <v>9</v>
      </c>
    </row>
    <row r="251" spans="2:2" x14ac:dyDescent="0.25">
      <c r="B251" s="1">
        <v>139</v>
      </c>
    </row>
    <row r="252" spans="2:2" x14ac:dyDescent="0.25">
      <c r="B252" s="1">
        <v>327</v>
      </c>
    </row>
    <row r="253" spans="2:2" x14ac:dyDescent="0.25">
      <c r="B253" s="1">
        <v>260</v>
      </c>
    </row>
    <row r="254" spans="2:2" x14ac:dyDescent="0.25">
      <c r="B254" s="1">
        <v>659</v>
      </c>
    </row>
    <row r="255" spans="2:2" x14ac:dyDescent="0.25">
      <c r="B255" s="1">
        <v>317</v>
      </c>
    </row>
    <row r="256" spans="2:2" x14ac:dyDescent="0.25">
      <c r="B256" s="1">
        <v>32</v>
      </c>
    </row>
    <row r="257" spans="2:2" x14ac:dyDescent="0.25">
      <c r="B257" s="1">
        <v>730</v>
      </c>
    </row>
    <row r="258" spans="2:2" x14ac:dyDescent="0.25">
      <c r="B258" s="1">
        <v>468</v>
      </c>
    </row>
    <row r="259" spans="2:2" x14ac:dyDescent="0.25">
      <c r="B259" s="1">
        <v>847</v>
      </c>
    </row>
    <row r="260" spans="2:2" x14ac:dyDescent="0.25">
      <c r="B260" s="1">
        <v>679</v>
      </c>
    </row>
    <row r="261" spans="2:2" x14ac:dyDescent="0.25">
      <c r="B261" s="1">
        <v>569</v>
      </c>
    </row>
    <row r="262" spans="2:2" x14ac:dyDescent="0.25">
      <c r="B262" s="1">
        <v>740</v>
      </c>
    </row>
    <row r="263" spans="2:2" x14ac:dyDescent="0.25">
      <c r="B263" s="1">
        <v>418</v>
      </c>
    </row>
    <row r="264" spans="2:2" x14ac:dyDescent="0.25">
      <c r="B264" s="1">
        <v>124</v>
      </c>
    </row>
    <row r="265" spans="2:2" x14ac:dyDescent="0.25">
      <c r="B265" s="1">
        <v>496</v>
      </c>
    </row>
    <row r="266" spans="2:2" x14ac:dyDescent="0.25">
      <c r="B266" s="1">
        <v>907</v>
      </c>
    </row>
    <row r="267" spans="2:2" x14ac:dyDescent="0.25">
      <c r="B267" s="1">
        <v>834</v>
      </c>
    </row>
    <row r="268" spans="2:2" x14ac:dyDescent="0.25">
      <c r="B268" s="1">
        <v>419</v>
      </c>
    </row>
    <row r="269" spans="2:2" x14ac:dyDescent="0.25">
      <c r="B269" s="1">
        <v>95</v>
      </c>
    </row>
    <row r="270" spans="2:2" x14ac:dyDescent="0.25">
      <c r="B270" s="1">
        <v>564</v>
      </c>
    </row>
    <row r="271" spans="2:2" x14ac:dyDescent="0.25">
      <c r="B271" s="1">
        <v>269</v>
      </c>
    </row>
    <row r="272" spans="2:2" x14ac:dyDescent="0.25">
      <c r="B272" s="1">
        <v>411</v>
      </c>
    </row>
    <row r="273" spans="2:2" x14ac:dyDescent="0.25">
      <c r="B273" s="1">
        <v>697</v>
      </c>
    </row>
    <row r="274" spans="2:2" x14ac:dyDescent="0.25">
      <c r="B274" s="1">
        <v>537</v>
      </c>
    </row>
    <row r="275" spans="2:2" x14ac:dyDescent="0.25">
      <c r="B275" s="1">
        <v>281</v>
      </c>
    </row>
    <row r="276" spans="2:2" x14ac:dyDescent="0.25">
      <c r="B276" s="1">
        <v>297</v>
      </c>
    </row>
    <row r="277" spans="2:2" x14ac:dyDescent="0.25">
      <c r="B277" s="1">
        <v>2</v>
      </c>
    </row>
    <row r="278" spans="2:2" x14ac:dyDescent="0.25">
      <c r="B278" s="1">
        <v>921</v>
      </c>
    </row>
    <row r="279" spans="2:2" x14ac:dyDescent="0.25">
      <c r="B279" s="1">
        <v>279</v>
      </c>
    </row>
    <row r="280" spans="2:2" x14ac:dyDescent="0.25">
      <c r="B280" s="1">
        <v>870</v>
      </c>
    </row>
    <row r="281" spans="2:2" x14ac:dyDescent="0.25">
      <c r="B281" s="1">
        <v>789</v>
      </c>
    </row>
    <row r="282" spans="2:2" x14ac:dyDescent="0.25">
      <c r="B282" s="1">
        <v>956</v>
      </c>
    </row>
    <row r="283" spans="2:2" x14ac:dyDescent="0.25">
      <c r="B283" s="1">
        <v>342</v>
      </c>
    </row>
    <row r="284" spans="2:2" x14ac:dyDescent="0.25">
      <c r="B284" s="1">
        <v>791</v>
      </c>
    </row>
    <row r="285" spans="2:2" x14ac:dyDescent="0.25">
      <c r="B285" s="1">
        <v>692</v>
      </c>
    </row>
    <row r="286" spans="2:2" x14ac:dyDescent="0.25">
      <c r="B286" s="1">
        <v>932</v>
      </c>
    </row>
    <row r="287" spans="2:2" x14ac:dyDescent="0.25">
      <c r="B287" s="1">
        <v>271</v>
      </c>
    </row>
    <row r="288" spans="2:2" x14ac:dyDescent="0.25">
      <c r="B288" s="1">
        <v>977</v>
      </c>
    </row>
    <row r="289" spans="2:2" x14ac:dyDescent="0.25">
      <c r="B289" s="1">
        <v>24</v>
      </c>
    </row>
    <row r="290" spans="2:2" x14ac:dyDescent="0.25">
      <c r="B290" s="1">
        <v>40</v>
      </c>
    </row>
    <row r="291" spans="2:2" x14ac:dyDescent="0.25">
      <c r="B291" s="1">
        <v>118</v>
      </c>
    </row>
    <row r="292" spans="2:2" x14ac:dyDescent="0.25">
      <c r="B292" s="1">
        <v>876</v>
      </c>
    </row>
    <row r="293" spans="2:2" x14ac:dyDescent="0.25">
      <c r="B293" s="1">
        <v>189</v>
      </c>
    </row>
    <row r="294" spans="2:2" x14ac:dyDescent="0.25">
      <c r="B294" s="1">
        <v>554</v>
      </c>
    </row>
    <row r="295" spans="2:2" x14ac:dyDescent="0.25">
      <c r="B295" s="1">
        <v>197</v>
      </c>
    </row>
    <row r="296" spans="2:2" x14ac:dyDescent="0.25">
      <c r="B296" s="1">
        <v>827</v>
      </c>
    </row>
    <row r="297" spans="2:2" x14ac:dyDescent="0.25">
      <c r="B297" s="1">
        <v>419</v>
      </c>
    </row>
    <row r="298" spans="2:2" x14ac:dyDescent="0.25">
      <c r="B298" s="1">
        <v>886</v>
      </c>
    </row>
    <row r="299" spans="2:2" x14ac:dyDescent="0.25">
      <c r="B299" s="1">
        <v>172</v>
      </c>
    </row>
    <row r="300" spans="2:2" x14ac:dyDescent="0.25">
      <c r="B300" s="1">
        <v>450</v>
      </c>
    </row>
    <row r="301" spans="2:2" x14ac:dyDescent="0.25">
      <c r="B301" s="1">
        <v>3</v>
      </c>
    </row>
    <row r="302" spans="2:2" x14ac:dyDescent="0.25">
      <c r="B302" s="1">
        <v>957</v>
      </c>
    </row>
    <row r="303" spans="2:2" x14ac:dyDescent="0.25">
      <c r="B303" s="1">
        <v>983</v>
      </c>
    </row>
    <row r="304" spans="2:2" x14ac:dyDescent="0.25">
      <c r="B304" s="1">
        <v>206</v>
      </c>
    </row>
    <row r="305" spans="2:2" x14ac:dyDescent="0.25">
      <c r="B305" s="1">
        <v>679</v>
      </c>
    </row>
    <row r="306" spans="2:2" x14ac:dyDescent="0.25">
      <c r="B306" s="1">
        <v>544</v>
      </c>
    </row>
    <row r="307" spans="2:2" x14ac:dyDescent="0.25">
      <c r="B307" s="1">
        <v>6</v>
      </c>
    </row>
    <row r="308" spans="2:2" x14ac:dyDescent="0.25">
      <c r="B308" s="1">
        <v>656</v>
      </c>
    </row>
    <row r="309" spans="2:2" x14ac:dyDescent="0.25">
      <c r="B309" s="1">
        <v>832</v>
      </c>
    </row>
    <row r="310" spans="2:2" x14ac:dyDescent="0.25">
      <c r="B310" s="1">
        <v>621</v>
      </c>
    </row>
    <row r="311" spans="2:2" x14ac:dyDescent="0.25">
      <c r="B311" s="1">
        <v>170</v>
      </c>
    </row>
    <row r="312" spans="2:2" x14ac:dyDescent="0.25">
      <c r="B312" s="1">
        <v>220</v>
      </c>
    </row>
    <row r="313" spans="2:2" x14ac:dyDescent="0.25">
      <c r="B313" s="1">
        <v>551</v>
      </c>
    </row>
    <row r="314" spans="2:2" x14ac:dyDescent="0.25">
      <c r="B314" s="1">
        <v>668</v>
      </c>
    </row>
    <row r="315" spans="2:2" x14ac:dyDescent="0.25">
      <c r="B315" s="1">
        <v>935</v>
      </c>
    </row>
    <row r="316" spans="2:2" x14ac:dyDescent="0.25">
      <c r="B316" s="1">
        <v>491</v>
      </c>
    </row>
    <row r="317" spans="2:2" x14ac:dyDescent="0.25">
      <c r="B317" s="1">
        <v>701</v>
      </c>
    </row>
    <row r="318" spans="2:2" x14ac:dyDescent="0.25">
      <c r="B318" s="1">
        <v>366</v>
      </c>
    </row>
    <row r="319" spans="2:2" x14ac:dyDescent="0.25">
      <c r="B319" s="1">
        <v>201</v>
      </c>
    </row>
    <row r="320" spans="2:2" x14ac:dyDescent="0.25">
      <c r="B320" s="1">
        <v>579</v>
      </c>
    </row>
    <row r="321" spans="2:2" x14ac:dyDescent="0.25">
      <c r="B321" s="1">
        <v>117</v>
      </c>
    </row>
    <row r="322" spans="2:2" x14ac:dyDescent="0.25">
      <c r="B322" s="1">
        <v>442</v>
      </c>
    </row>
    <row r="323" spans="2:2" x14ac:dyDescent="0.25">
      <c r="B323" s="1">
        <v>813</v>
      </c>
    </row>
    <row r="324" spans="2:2" x14ac:dyDescent="0.25">
      <c r="B324" s="1">
        <v>517</v>
      </c>
    </row>
    <row r="325" spans="2:2" x14ac:dyDescent="0.25">
      <c r="B325" s="1">
        <v>328</v>
      </c>
    </row>
    <row r="326" spans="2:2" x14ac:dyDescent="0.25">
      <c r="B326" s="1">
        <v>397</v>
      </c>
    </row>
    <row r="327" spans="2:2" x14ac:dyDescent="0.25">
      <c r="B327" s="1">
        <v>928</v>
      </c>
    </row>
    <row r="328" spans="2:2" x14ac:dyDescent="0.25">
      <c r="B328" s="1">
        <v>880</v>
      </c>
    </row>
    <row r="329" spans="2:2" x14ac:dyDescent="0.25">
      <c r="B329" s="1">
        <v>247</v>
      </c>
    </row>
    <row r="330" spans="2:2" x14ac:dyDescent="0.25">
      <c r="B330" s="1">
        <v>490</v>
      </c>
    </row>
    <row r="331" spans="2:2" x14ac:dyDescent="0.25">
      <c r="B331" s="1">
        <v>212</v>
      </c>
    </row>
    <row r="332" spans="2:2" x14ac:dyDescent="0.25">
      <c r="B332" s="1">
        <v>475</v>
      </c>
    </row>
    <row r="333" spans="2:2" x14ac:dyDescent="0.25">
      <c r="B333" s="1">
        <v>358</v>
      </c>
    </row>
    <row r="334" spans="2:2" x14ac:dyDescent="0.25">
      <c r="B334" s="1">
        <v>951</v>
      </c>
    </row>
    <row r="335" spans="2:2" x14ac:dyDescent="0.25">
      <c r="B335" s="1">
        <v>570</v>
      </c>
    </row>
    <row r="336" spans="2:2" x14ac:dyDescent="0.25">
      <c r="B336" s="1">
        <v>390</v>
      </c>
    </row>
    <row r="337" spans="2:2" x14ac:dyDescent="0.25">
      <c r="B337" s="1">
        <v>300</v>
      </c>
    </row>
    <row r="338" spans="2:2" x14ac:dyDescent="0.25">
      <c r="B338" s="1">
        <v>940</v>
      </c>
    </row>
    <row r="339" spans="2:2" x14ac:dyDescent="0.25">
      <c r="B339" s="1">
        <v>678</v>
      </c>
    </row>
    <row r="340" spans="2:2" x14ac:dyDescent="0.25">
      <c r="B340" s="1">
        <v>132</v>
      </c>
    </row>
    <row r="341" spans="2:2" x14ac:dyDescent="0.25">
      <c r="B341" s="1">
        <v>509</v>
      </c>
    </row>
    <row r="342" spans="2:2" x14ac:dyDescent="0.25">
      <c r="B342" s="1">
        <v>619</v>
      </c>
    </row>
    <row r="343" spans="2:2" x14ac:dyDescent="0.25">
      <c r="B343" s="1">
        <v>35</v>
      </c>
    </row>
    <row r="344" spans="2:2" x14ac:dyDescent="0.25">
      <c r="B344" s="1">
        <v>675</v>
      </c>
    </row>
    <row r="345" spans="2:2" x14ac:dyDescent="0.25">
      <c r="B345" s="1">
        <v>977</v>
      </c>
    </row>
    <row r="346" spans="2:2" x14ac:dyDescent="0.25">
      <c r="B346" s="1">
        <v>18</v>
      </c>
    </row>
    <row r="347" spans="2:2" x14ac:dyDescent="0.25">
      <c r="B347" s="1">
        <v>991</v>
      </c>
    </row>
    <row r="348" spans="2:2" x14ac:dyDescent="0.25">
      <c r="B348" s="1">
        <v>624</v>
      </c>
    </row>
    <row r="349" spans="2:2" x14ac:dyDescent="0.25">
      <c r="B349" s="1">
        <v>737</v>
      </c>
    </row>
    <row r="350" spans="2:2" x14ac:dyDescent="0.25">
      <c r="B350" s="1">
        <v>782</v>
      </c>
    </row>
    <row r="351" spans="2:2" x14ac:dyDescent="0.25">
      <c r="B351" s="1">
        <v>339</v>
      </c>
    </row>
    <row r="352" spans="2:2" x14ac:dyDescent="0.25">
      <c r="B352" s="1">
        <v>364</v>
      </c>
    </row>
    <row r="353" spans="2:2" x14ac:dyDescent="0.25">
      <c r="B353" s="1">
        <v>146</v>
      </c>
    </row>
    <row r="354" spans="2:2" x14ac:dyDescent="0.25">
      <c r="B354" s="1">
        <v>401</v>
      </c>
    </row>
    <row r="355" spans="2:2" x14ac:dyDescent="0.25">
      <c r="B355" s="1">
        <v>685</v>
      </c>
    </row>
    <row r="356" spans="2:2" x14ac:dyDescent="0.25">
      <c r="B356" s="1">
        <v>132</v>
      </c>
    </row>
    <row r="357" spans="2:2" x14ac:dyDescent="0.25">
      <c r="B357" s="1">
        <v>61</v>
      </c>
    </row>
    <row r="358" spans="2:2" x14ac:dyDescent="0.25">
      <c r="B358" s="1">
        <v>522</v>
      </c>
    </row>
    <row r="359" spans="2:2" x14ac:dyDescent="0.25">
      <c r="B359" s="1">
        <v>213</v>
      </c>
    </row>
    <row r="360" spans="2:2" x14ac:dyDescent="0.25">
      <c r="B360" s="1">
        <v>565</v>
      </c>
    </row>
    <row r="361" spans="2:2" x14ac:dyDescent="0.25">
      <c r="B361" s="1">
        <v>635</v>
      </c>
    </row>
    <row r="362" spans="2:2" x14ac:dyDescent="0.25">
      <c r="B362" s="1">
        <v>179</v>
      </c>
    </row>
    <row r="363" spans="2:2" x14ac:dyDescent="0.25">
      <c r="B363" s="1">
        <v>462</v>
      </c>
    </row>
    <row r="364" spans="2:2" x14ac:dyDescent="0.25">
      <c r="B364" s="1">
        <v>830</v>
      </c>
    </row>
    <row r="365" spans="2:2" x14ac:dyDescent="0.25">
      <c r="B365" s="1">
        <v>21</v>
      </c>
    </row>
    <row r="366" spans="2:2" x14ac:dyDescent="0.25">
      <c r="B366" s="1">
        <v>1</v>
      </c>
    </row>
    <row r="367" spans="2:2" x14ac:dyDescent="0.25">
      <c r="B367" s="1">
        <v>589</v>
      </c>
    </row>
    <row r="368" spans="2:2" x14ac:dyDescent="0.25">
      <c r="B368" s="1">
        <v>594</v>
      </c>
    </row>
    <row r="369" spans="2:2" x14ac:dyDescent="0.25">
      <c r="B369" s="1">
        <v>592</v>
      </c>
    </row>
    <row r="370" spans="2:2" x14ac:dyDescent="0.25">
      <c r="B370" s="1">
        <v>222</v>
      </c>
    </row>
    <row r="371" spans="2:2" x14ac:dyDescent="0.25">
      <c r="B371" s="1">
        <v>960</v>
      </c>
    </row>
    <row r="372" spans="2:2" x14ac:dyDescent="0.25">
      <c r="B372" s="1">
        <v>481</v>
      </c>
    </row>
    <row r="373" spans="2:2" x14ac:dyDescent="0.25">
      <c r="B373" s="1">
        <v>882</v>
      </c>
    </row>
    <row r="374" spans="2:2" x14ac:dyDescent="0.25">
      <c r="B374" s="1">
        <v>150</v>
      </c>
    </row>
    <row r="375" spans="2:2" x14ac:dyDescent="0.25">
      <c r="B375" s="1">
        <v>335</v>
      </c>
    </row>
    <row r="376" spans="2:2" x14ac:dyDescent="0.25">
      <c r="B376" s="1">
        <v>376</v>
      </c>
    </row>
    <row r="377" spans="2:2" x14ac:dyDescent="0.25">
      <c r="B377" s="1">
        <v>723</v>
      </c>
    </row>
    <row r="378" spans="2:2" x14ac:dyDescent="0.25">
      <c r="B378" s="1">
        <v>778</v>
      </c>
    </row>
    <row r="379" spans="2:2" x14ac:dyDescent="0.25">
      <c r="B379" s="1">
        <v>571</v>
      </c>
    </row>
    <row r="380" spans="2:2" x14ac:dyDescent="0.25">
      <c r="B380" s="1">
        <v>406</v>
      </c>
    </row>
    <row r="381" spans="2:2" x14ac:dyDescent="0.25">
      <c r="B381" s="1">
        <v>965</v>
      </c>
    </row>
    <row r="382" spans="2:2" x14ac:dyDescent="0.25">
      <c r="B382" s="1">
        <v>342</v>
      </c>
    </row>
    <row r="383" spans="2:2" x14ac:dyDescent="0.25">
      <c r="B383" s="1">
        <v>285</v>
      </c>
    </row>
    <row r="384" spans="2:2" x14ac:dyDescent="0.25">
      <c r="B384" s="1">
        <v>370</v>
      </c>
    </row>
    <row r="385" spans="2:2" x14ac:dyDescent="0.25">
      <c r="B385" s="1">
        <v>817</v>
      </c>
    </row>
    <row r="386" spans="2:2" x14ac:dyDescent="0.25">
      <c r="B386" s="1">
        <v>56</v>
      </c>
    </row>
    <row r="387" spans="2:2" x14ac:dyDescent="0.25">
      <c r="B387" s="1">
        <v>284</v>
      </c>
    </row>
    <row r="388" spans="2:2" x14ac:dyDescent="0.25">
      <c r="B388" s="1">
        <v>267</v>
      </c>
    </row>
    <row r="389" spans="2:2" x14ac:dyDescent="0.25">
      <c r="B389" s="1">
        <v>949</v>
      </c>
    </row>
    <row r="390" spans="2:2" x14ac:dyDescent="0.25">
      <c r="B390" s="1">
        <v>320</v>
      </c>
    </row>
    <row r="391" spans="2:2" x14ac:dyDescent="0.25">
      <c r="B391" s="1">
        <v>900</v>
      </c>
    </row>
    <row r="392" spans="2:2" x14ac:dyDescent="0.25">
      <c r="B392" s="1">
        <v>362</v>
      </c>
    </row>
    <row r="393" spans="2:2" x14ac:dyDescent="0.25">
      <c r="B393" s="1">
        <v>687</v>
      </c>
    </row>
    <row r="394" spans="2:2" x14ac:dyDescent="0.25">
      <c r="B394" s="1">
        <v>923</v>
      </c>
    </row>
    <row r="395" spans="2:2" x14ac:dyDescent="0.25">
      <c r="B395" s="1">
        <v>370</v>
      </c>
    </row>
    <row r="396" spans="2:2" x14ac:dyDescent="0.25">
      <c r="B396" s="1">
        <v>552</v>
      </c>
    </row>
    <row r="397" spans="2:2" x14ac:dyDescent="0.25">
      <c r="B397" s="1">
        <v>897</v>
      </c>
    </row>
    <row r="398" spans="2:2" x14ac:dyDescent="0.25">
      <c r="B398" s="1">
        <v>353</v>
      </c>
    </row>
    <row r="399" spans="2:2" x14ac:dyDescent="0.25">
      <c r="B399" s="1">
        <v>532</v>
      </c>
    </row>
    <row r="400" spans="2:2" x14ac:dyDescent="0.25">
      <c r="B400" s="1">
        <v>703</v>
      </c>
    </row>
    <row r="401" spans="2:2" x14ac:dyDescent="0.25">
      <c r="B401" s="1">
        <v>712</v>
      </c>
    </row>
    <row r="402" spans="2:2" x14ac:dyDescent="0.25">
      <c r="B402" s="1">
        <v>495</v>
      </c>
    </row>
    <row r="403" spans="2:2" x14ac:dyDescent="0.25">
      <c r="B403" s="1">
        <v>876</v>
      </c>
    </row>
    <row r="404" spans="2:2" x14ac:dyDescent="0.25">
      <c r="B404" s="1">
        <v>686</v>
      </c>
    </row>
    <row r="405" spans="2:2" x14ac:dyDescent="0.25">
      <c r="B405" s="1">
        <v>262</v>
      </c>
    </row>
    <row r="406" spans="2:2" x14ac:dyDescent="0.25">
      <c r="B406" s="1">
        <v>630</v>
      </c>
    </row>
    <row r="407" spans="2:2" x14ac:dyDescent="0.25">
      <c r="B407" s="1">
        <v>598</v>
      </c>
    </row>
    <row r="408" spans="2:2" x14ac:dyDescent="0.25">
      <c r="B408" s="1">
        <v>11</v>
      </c>
    </row>
    <row r="409" spans="2:2" x14ac:dyDescent="0.25">
      <c r="B409" s="1">
        <v>129</v>
      </c>
    </row>
    <row r="410" spans="2:2" x14ac:dyDescent="0.25">
      <c r="B410" s="1">
        <v>188</v>
      </c>
    </row>
    <row r="411" spans="2:2" x14ac:dyDescent="0.25">
      <c r="B411" s="1">
        <v>259</v>
      </c>
    </row>
    <row r="412" spans="2:2" x14ac:dyDescent="0.25">
      <c r="B412" s="1">
        <v>241</v>
      </c>
    </row>
    <row r="413" spans="2:2" x14ac:dyDescent="0.25">
      <c r="B413" s="1">
        <v>430</v>
      </c>
    </row>
    <row r="414" spans="2:2" x14ac:dyDescent="0.25">
      <c r="B414" s="1">
        <v>587</v>
      </c>
    </row>
    <row r="415" spans="2:2" x14ac:dyDescent="0.25">
      <c r="B415" s="1">
        <v>13</v>
      </c>
    </row>
    <row r="416" spans="2:2" x14ac:dyDescent="0.25">
      <c r="B416" s="1">
        <v>202</v>
      </c>
    </row>
    <row r="417" spans="2:2" x14ac:dyDescent="0.25">
      <c r="B417" s="1">
        <v>727</v>
      </c>
    </row>
    <row r="418" spans="2:2" x14ac:dyDescent="0.25">
      <c r="B418" s="1">
        <v>518</v>
      </c>
    </row>
    <row r="419" spans="2:2" x14ac:dyDescent="0.25">
      <c r="B419" s="1">
        <v>863</v>
      </c>
    </row>
    <row r="420" spans="2:2" x14ac:dyDescent="0.25">
      <c r="B420" s="1">
        <v>170</v>
      </c>
    </row>
    <row r="421" spans="2:2" x14ac:dyDescent="0.25">
      <c r="B421" s="1">
        <v>520</v>
      </c>
    </row>
    <row r="422" spans="2:2" x14ac:dyDescent="0.25">
      <c r="B422" s="1">
        <v>193</v>
      </c>
    </row>
    <row r="423" spans="2:2" x14ac:dyDescent="0.25">
      <c r="B423" s="1">
        <v>65</v>
      </c>
    </row>
    <row r="424" spans="2:2" x14ac:dyDescent="0.25">
      <c r="B424" s="1">
        <v>836</v>
      </c>
    </row>
    <row r="425" spans="2:2" x14ac:dyDescent="0.25">
      <c r="B425" s="1">
        <v>796</v>
      </c>
    </row>
    <row r="426" spans="2:2" x14ac:dyDescent="0.25">
      <c r="B426" s="1">
        <v>440</v>
      </c>
    </row>
    <row r="427" spans="2:2" x14ac:dyDescent="0.25">
      <c r="B427" s="1">
        <v>741</v>
      </c>
    </row>
    <row r="428" spans="2:2" x14ac:dyDescent="0.25">
      <c r="B428" s="1">
        <v>958</v>
      </c>
    </row>
    <row r="429" spans="2:2" x14ac:dyDescent="0.25">
      <c r="B429" s="1">
        <v>57</v>
      </c>
    </row>
    <row r="430" spans="2:2" x14ac:dyDescent="0.25">
      <c r="B430" s="1">
        <v>612</v>
      </c>
    </row>
    <row r="431" spans="2:2" x14ac:dyDescent="0.25">
      <c r="B431" s="1">
        <v>849</v>
      </c>
    </row>
    <row r="432" spans="2:2" x14ac:dyDescent="0.25">
      <c r="B432" s="1">
        <v>206</v>
      </c>
    </row>
    <row r="433" spans="2:2" x14ac:dyDescent="0.25">
      <c r="B433" s="1">
        <v>511</v>
      </c>
    </row>
    <row r="434" spans="2:2" x14ac:dyDescent="0.25">
      <c r="B434" s="1">
        <v>410</v>
      </c>
    </row>
    <row r="435" spans="2:2" x14ac:dyDescent="0.25">
      <c r="B435" s="1">
        <v>866</v>
      </c>
    </row>
    <row r="436" spans="2:2" x14ac:dyDescent="0.25">
      <c r="B436" s="1">
        <v>850</v>
      </c>
    </row>
    <row r="437" spans="2:2" x14ac:dyDescent="0.25">
      <c r="B437" s="1">
        <v>866</v>
      </c>
    </row>
    <row r="438" spans="2:2" x14ac:dyDescent="0.25">
      <c r="B438" s="1">
        <v>372</v>
      </c>
    </row>
    <row r="439" spans="2:2" x14ac:dyDescent="0.25">
      <c r="B439" s="1">
        <v>154</v>
      </c>
    </row>
    <row r="440" spans="2:2" x14ac:dyDescent="0.25">
      <c r="B440" s="1">
        <v>697</v>
      </c>
    </row>
    <row r="441" spans="2:2" x14ac:dyDescent="0.25">
      <c r="B441" s="1">
        <v>584</v>
      </c>
    </row>
    <row r="442" spans="2:2" x14ac:dyDescent="0.25">
      <c r="B442" s="1">
        <v>157</v>
      </c>
    </row>
    <row r="443" spans="2:2" x14ac:dyDescent="0.25">
      <c r="B443" s="1">
        <v>839</v>
      </c>
    </row>
    <row r="444" spans="2:2" x14ac:dyDescent="0.25">
      <c r="B444" s="1">
        <v>479</v>
      </c>
    </row>
    <row r="445" spans="2:2" x14ac:dyDescent="0.25">
      <c r="B445" s="1">
        <v>673</v>
      </c>
    </row>
    <row r="446" spans="2:2" x14ac:dyDescent="0.25">
      <c r="B446" s="1">
        <v>534</v>
      </c>
    </row>
    <row r="447" spans="2:2" x14ac:dyDescent="0.25">
      <c r="B447" s="1">
        <v>549</v>
      </c>
    </row>
    <row r="448" spans="2:2" x14ac:dyDescent="0.25">
      <c r="B448" s="1">
        <v>944</v>
      </c>
    </row>
    <row r="449" spans="2:2" x14ac:dyDescent="0.25">
      <c r="B449" s="1">
        <v>680</v>
      </c>
    </row>
    <row r="450" spans="2:2" x14ac:dyDescent="0.25">
      <c r="B450" s="1">
        <v>227</v>
      </c>
    </row>
    <row r="451" spans="2:2" x14ac:dyDescent="0.25">
      <c r="B451" s="1">
        <v>836</v>
      </c>
    </row>
    <row r="452" spans="2:2" x14ac:dyDescent="0.25">
      <c r="B452" s="1">
        <v>367</v>
      </c>
    </row>
    <row r="453" spans="2:2" x14ac:dyDescent="0.25">
      <c r="B453" s="1">
        <v>838</v>
      </c>
    </row>
    <row r="454" spans="2:2" x14ac:dyDescent="0.25">
      <c r="B454" s="1">
        <v>48</v>
      </c>
    </row>
    <row r="455" spans="2:2" x14ac:dyDescent="0.25">
      <c r="B455" s="1">
        <v>63</v>
      </c>
    </row>
    <row r="456" spans="2:2" x14ac:dyDescent="0.25">
      <c r="B456" s="1">
        <v>391</v>
      </c>
    </row>
    <row r="457" spans="2:2" x14ac:dyDescent="0.25">
      <c r="B457" s="1">
        <v>40</v>
      </c>
    </row>
    <row r="458" spans="2:2" x14ac:dyDescent="0.25">
      <c r="B458" s="1">
        <v>905</v>
      </c>
    </row>
    <row r="459" spans="2:2" x14ac:dyDescent="0.25">
      <c r="B459" s="1">
        <v>323</v>
      </c>
    </row>
    <row r="460" spans="2:2" x14ac:dyDescent="0.25">
      <c r="B460" s="1">
        <v>580</v>
      </c>
    </row>
    <row r="461" spans="2:2" x14ac:dyDescent="0.25">
      <c r="B461" s="1">
        <v>791</v>
      </c>
    </row>
    <row r="462" spans="2:2" x14ac:dyDescent="0.25">
      <c r="B462" s="1">
        <v>21</v>
      </c>
    </row>
    <row r="463" spans="2:2" x14ac:dyDescent="0.25">
      <c r="B463" s="1">
        <v>723</v>
      </c>
    </row>
    <row r="464" spans="2:2" x14ac:dyDescent="0.25">
      <c r="B464" s="1">
        <v>8</v>
      </c>
    </row>
    <row r="465" spans="2:2" x14ac:dyDescent="0.25">
      <c r="B465" s="1">
        <v>792</v>
      </c>
    </row>
    <row r="466" spans="2:2" x14ac:dyDescent="0.25">
      <c r="B466" s="1">
        <v>250</v>
      </c>
    </row>
    <row r="467" spans="2:2" x14ac:dyDescent="0.25">
      <c r="B467" s="1">
        <v>696</v>
      </c>
    </row>
    <row r="468" spans="2:2" x14ac:dyDescent="0.25">
      <c r="B468" s="1">
        <v>548</v>
      </c>
    </row>
    <row r="469" spans="2:2" x14ac:dyDescent="0.25">
      <c r="B469" s="1">
        <v>911</v>
      </c>
    </row>
    <row r="470" spans="2:2" x14ac:dyDescent="0.25">
      <c r="B470" s="1">
        <v>715</v>
      </c>
    </row>
    <row r="471" spans="2:2" x14ac:dyDescent="0.25">
      <c r="B471" s="1">
        <v>145</v>
      </c>
    </row>
    <row r="472" spans="2:2" x14ac:dyDescent="0.25">
      <c r="B472" s="1">
        <v>45</v>
      </c>
    </row>
    <row r="473" spans="2:2" x14ac:dyDescent="0.25">
      <c r="B473" s="1">
        <v>651</v>
      </c>
    </row>
    <row r="474" spans="2:2" x14ac:dyDescent="0.25">
      <c r="B474" s="1">
        <v>772</v>
      </c>
    </row>
    <row r="475" spans="2:2" x14ac:dyDescent="0.25">
      <c r="B475" s="1">
        <v>711</v>
      </c>
    </row>
    <row r="476" spans="2:2" x14ac:dyDescent="0.25">
      <c r="B476" s="1">
        <v>466</v>
      </c>
    </row>
    <row r="477" spans="2:2" x14ac:dyDescent="0.25">
      <c r="B477" s="1">
        <v>15</v>
      </c>
    </row>
    <row r="478" spans="2:2" x14ac:dyDescent="0.25">
      <c r="B478" s="1">
        <v>937</v>
      </c>
    </row>
    <row r="479" spans="2:2" x14ac:dyDescent="0.25">
      <c r="B479" s="1">
        <v>754</v>
      </c>
    </row>
    <row r="480" spans="2:2" x14ac:dyDescent="0.25">
      <c r="B480" s="1">
        <v>415</v>
      </c>
    </row>
    <row r="481" spans="2:2" x14ac:dyDescent="0.25">
      <c r="B481" s="1">
        <v>825</v>
      </c>
    </row>
    <row r="482" spans="2:2" x14ac:dyDescent="0.25">
      <c r="B482" s="1">
        <v>231</v>
      </c>
    </row>
    <row r="483" spans="2:2" x14ac:dyDescent="0.25">
      <c r="B483" s="1">
        <v>776</v>
      </c>
    </row>
    <row r="484" spans="2:2" x14ac:dyDescent="0.25">
      <c r="B484" s="1">
        <v>14</v>
      </c>
    </row>
    <row r="485" spans="2:2" x14ac:dyDescent="0.25">
      <c r="B485" s="1">
        <v>32</v>
      </c>
    </row>
    <row r="486" spans="2:2" x14ac:dyDescent="0.25">
      <c r="B486" s="1">
        <v>724</v>
      </c>
    </row>
    <row r="487" spans="2:2" x14ac:dyDescent="0.25">
      <c r="B487" s="1">
        <v>843</v>
      </c>
    </row>
    <row r="488" spans="2:2" x14ac:dyDescent="0.25">
      <c r="B488" s="1">
        <v>959</v>
      </c>
    </row>
    <row r="489" spans="2:2" x14ac:dyDescent="0.25">
      <c r="B489" s="1">
        <v>63</v>
      </c>
    </row>
    <row r="490" spans="2:2" x14ac:dyDescent="0.25">
      <c r="B490" s="1">
        <v>39</v>
      </c>
    </row>
    <row r="491" spans="2:2" x14ac:dyDescent="0.25">
      <c r="B491" s="1">
        <v>812</v>
      </c>
    </row>
    <row r="492" spans="2:2" x14ac:dyDescent="0.25">
      <c r="B492" s="1">
        <v>651</v>
      </c>
    </row>
    <row r="493" spans="2:2" x14ac:dyDescent="0.25">
      <c r="B493" s="1">
        <v>453</v>
      </c>
    </row>
    <row r="494" spans="2:2" x14ac:dyDescent="0.25">
      <c r="B494" s="1">
        <v>215</v>
      </c>
    </row>
    <row r="495" spans="2:2" x14ac:dyDescent="0.25">
      <c r="B495" s="1">
        <v>286</v>
      </c>
    </row>
    <row r="496" spans="2:2" x14ac:dyDescent="0.25">
      <c r="B496" s="1">
        <v>534</v>
      </c>
    </row>
    <row r="497" spans="2:2" x14ac:dyDescent="0.25">
      <c r="B497" s="1">
        <v>820</v>
      </c>
    </row>
    <row r="498" spans="2:2" x14ac:dyDescent="0.25">
      <c r="B498" s="1">
        <v>212</v>
      </c>
    </row>
    <row r="499" spans="2:2" x14ac:dyDescent="0.25">
      <c r="B499" s="1">
        <v>614</v>
      </c>
    </row>
    <row r="500" spans="2:2" x14ac:dyDescent="0.25">
      <c r="B500" s="1">
        <v>547</v>
      </c>
    </row>
    <row r="501" spans="2:2" x14ac:dyDescent="0.25">
      <c r="B501" s="1">
        <v>696</v>
      </c>
    </row>
    <row r="502" spans="2:2" x14ac:dyDescent="0.25">
      <c r="B502" s="1">
        <v>467</v>
      </c>
    </row>
    <row r="503" spans="2:2" x14ac:dyDescent="0.25">
      <c r="B503" s="1">
        <v>524</v>
      </c>
    </row>
    <row r="504" spans="2:2" x14ac:dyDescent="0.25">
      <c r="B504" s="1">
        <v>161</v>
      </c>
    </row>
    <row r="505" spans="2:2" x14ac:dyDescent="0.25">
      <c r="B505" s="1">
        <v>535</v>
      </c>
    </row>
    <row r="506" spans="2:2" x14ac:dyDescent="0.25">
      <c r="B506" s="1">
        <v>717</v>
      </c>
    </row>
    <row r="507" spans="2:2" x14ac:dyDescent="0.25">
      <c r="B507" s="1">
        <v>429</v>
      </c>
    </row>
    <row r="508" spans="2:2" x14ac:dyDescent="0.25">
      <c r="B508" s="1">
        <v>613</v>
      </c>
    </row>
    <row r="509" spans="2:2" x14ac:dyDescent="0.25">
      <c r="B509" s="1">
        <v>727</v>
      </c>
    </row>
    <row r="510" spans="2:2" x14ac:dyDescent="0.25">
      <c r="B510" s="1">
        <v>960</v>
      </c>
    </row>
    <row r="511" spans="2:2" x14ac:dyDescent="0.25">
      <c r="B511" s="1">
        <v>611</v>
      </c>
    </row>
    <row r="512" spans="2:2" x14ac:dyDescent="0.25">
      <c r="B512" s="1">
        <v>974</v>
      </c>
    </row>
    <row r="513" spans="2:2" x14ac:dyDescent="0.25">
      <c r="B513" s="1">
        <v>435</v>
      </c>
    </row>
    <row r="514" spans="2:2" x14ac:dyDescent="0.25">
      <c r="B514" s="1">
        <v>318</v>
      </c>
    </row>
    <row r="515" spans="2:2" x14ac:dyDescent="0.25">
      <c r="B515" s="1">
        <v>652</v>
      </c>
    </row>
    <row r="516" spans="2:2" x14ac:dyDescent="0.25">
      <c r="B516" s="1">
        <v>525</v>
      </c>
    </row>
    <row r="517" spans="2:2" x14ac:dyDescent="0.25">
      <c r="B517" s="1">
        <v>720</v>
      </c>
    </row>
    <row r="518" spans="2:2" x14ac:dyDescent="0.25">
      <c r="B518" s="1">
        <v>109</v>
      </c>
    </row>
    <row r="519" spans="2:2" x14ac:dyDescent="0.25">
      <c r="B519" s="1">
        <v>808</v>
      </c>
    </row>
    <row r="520" spans="2:2" x14ac:dyDescent="0.25">
      <c r="B520" s="1">
        <v>927</v>
      </c>
    </row>
    <row r="521" spans="2:2" x14ac:dyDescent="0.25">
      <c r="B521" s="1">
        <v>851</v>
      </c>
    </row>
    <row r="522" spans="2:2" x14ac:dyDescent="0.25">
      <c r="B522" s="1">
        <v>975</v>
      </c>
    </row>
    <row r="523" spans="2:2" x14ac:dyDescent="0.25">
      <c r="B523" s="1">
        <v>999</v>
      </c>
    </row>
    <row r="524" spans="2:2" x14ac:dyDescent="0.25">
      <c r="B524" s="1">
        <v>809</v>
      </c>
    </row>
    <row r="525" spans="2:2" x14ac:dyDescent="0.25">
      <c r="B525" s="1">
        <v>37</v>
      </c>
    </row>
    <row r="526" spans="2:2" x14ac:dyDescent="0.25">
      <c r="B526" s="1">
        <v>236</v>
      </c>
    </row>
    <row r="527" spans="2:2" x14ac:dyDescent="0.25">
      <c r="B527" s="1">
        <v>587</v>
      </c>
    </row>
    <row r="528" spans="2:2" x14ac:dyDescent="0.25">
      <c r="B528" s="1">
        <v>335</v>
      </c>
    </row>
    <row r="529" spans="2:2" x14ac:dyDescent="0.25">
      <c r="B529" s="1">
        <v>853</v>
      </c>
    </row>
    <row r="530" spans="2:2" x14ac:dyDescent="0.25">
      <c r="B530" s="1">
        <v>352</v>
      </c>
    </row>
    <row r="531" spans="2:2" x14ac:dyDescent="0.25">
      <c r="B531" s="1">
        <v>891</v>
      </c>
    </row>
    <row r="532" spans="2:2" x14ac:dyDescent="0.25">
      <c r="B532" s="1">
        <v>356</v>
      </c>
    </row>
    <row r="533" spans="2:2" x14ac:dyDescent="0.25">
      <c r="B533" s="1">
        <v>109</v>
      </c>
    </row>
    <row r="534" spans="2:2" x14ac:dyDescent="0.25">
      <c r="B534" s="1">
        <v>359</v>
      </c>
    </row>
    <row r="535" spans="2:2" x14ac:dyDescent="0.25">
      <c r="B535" s="1">
        <v>233</v>
      </c>
    </row>
    <row r="536" spans="2:2" x14ac:dyDescent="0.25">
      <c r="B536" s="1">
        <v>704</v>
      </c>
    </row>
    <row r="537" spans="2:2" x14ac:dyDescent="0.25">
      <c r="B537" s="1">
        <v>206</v>
      </c>
    </row>
    <row r="538" spans="2:2" x14ac:dyDescent="0.25">
      <c r="B538" s="1">
        <v>478</v>
      </c>
    </row>
    <row r="539" spans="2:2" x14ac:dyDescent="0.25">
      <c r="B539" s="1">
        <v>749</v>
      </c>
    </row>
    <row r="540" spans="2:2" x14ac:dyDescent="0.25">
      <c r="B540" s="1">
        <v>234</v>
      </c>
    </row>
    <row r="541" spans="2:2" x14ac:dyDescent="0.25">
      <c r="B541" s="1">
        <v>429</v>
      </c>
    </row>
    <row r="542" spans="2:2" x14ac:dyDescent="0.25">
      <c r="B542" s="1">
        <v>597</v>
      </c>
    </row>
    <row r="543" spans="2:2" x14ac:dyDescent="0.25">
      <c r="B543" s="1">
        <v>554</v>
      </c>
    </row>
    <row r="544" spans="2:2" x14ac:dyDescent="0.25">
      <c r="B544" s="1">
        <v>791</v>
      </c>
    </row>
    <row r="545" spans="2:2" x14ac:dyDescent="0.25">
      <c r="B545" s="1">
        <v>993</v>
      </c>
    </row>
    <row r="546" spans="2:2" x14ac:dyDescent="0.25">
      <c r="B546" s="1">
        <v>270</v>
      </c>
    </row>
    <row r="547" spans="2:2" x14ac:dyDescent="0.25">
      <c r="B547" s="1">
        <v>584</v>
      </c>
    </row>
    <row r="548" spans="2:2" x14ac:dyDescent="0.25">
      <c r="B548" s="1">
        <v>515</v>
      </c>
    </row>
    <row r="549" spans="2:2" x14ac:dyDescent="0.25">
      <c r="B549" s="1">
        <v>187</v>
      </c>
    </row>
    <row r="550" spans="2:2" x14ac:dyDescent="0.25">
      <c r="B550" s="1">
        <v>428</v>
      </c>
    </row>
    <row r="551" spans="2:2" x14ac:dyDescent="0.25">
      <c r="B551" s="1">
        <v>684</v>
      </c>
    </row>
    <row r="552" spans="2:2" x14ac:dyDescent="0.25">
      <c r="B552" s="1">
        <v>782</v>
      </c>
    </row>
    <row r="553" spans="2:2" x14ac:dyDescent="0.25">
      <c r="B553" s="1">
        <v>876</v>
      </c>
    </row>
    <row r="554" spans="2:2" x14ac:dyDescent="0.25">
      <c r="B554" s="1">
        <v>41</v>
      </c>
    </row>
    <row r="555" spans="2:2" x14ac:dyDescent="0.25">
      <c r="B555" s="1">
        <v>975</v>
      </c>
    </row>
    <row r="556" spans="2:2" x14ac:dyDescent="0.25">
      <c r="B556" s="1">
        <v>328</v>
      </c>
    </row>
    <row r="557" spans="2:2" x14ac:dyDescent="0.25">
      <c r="B557" s="1">
        <v>402</v>
      </c>
    </row>
    <row r="558" spans="2:2" x14ac:dyDescent="0.25">
      <c r="B558" s="1">
        <v>978</v>
      </c>
    </row>
    <row r="559" spans="2:2" x14ac:dyDescent="0.25">
      <c r="B559" s="1">
        <v>444</v>
      </c>
    </row>
    <row r="560" spans="2:2" x14ac:dyDescent="0.25">
      <c r="B560" s="1">
        <v>76</v>
      </c>
    </row>
    <row r="561" spans="2:2" x14ac:dyDescent="0.25">
      <c r="B561" s="1">
        <v>679</v>
      </c>
    </row>
    <row r="562" spans="2:2" x14ac:dyDescent="0.25">
      <c r="B562" s="1">
        <v>832</v>
      </c>
    </row>
    <row r="563" spans="2:2" x14ac:dyDescent="0.25">
      <c r="B563" s="1">
        <v>953</v>
      </c>
    </row>
    <row r="564" spans="2:2" x14ac:dyDescent="0.25">
      <c r="B564" s="1">
        <v>758</v>
      </c>
    </row>
    <row r="565" spans="2:2" x14ac:dyDescent="0.25">
      <c r="B565" s="1">
        <v>318</v>
      </c>
    </row>
    <row r="566" spans="2:2" x14ac:dyDescent="0.25">
      <c r="B566" s="1">
        <v>610</v>
      </c>
    </row>
    <row r="567" spans="2:2" x14ac:dyDescent="0.25">
      <c r="B567" s="1">
        <v>819</v>
      </c>
    </row>
    <row r="568" spans="2:2" x14ac:dyDescent="0.25">
      <c r="B568" s="1">
        <v>531</v>
      </c>
    </row>
    <row r="569" spans="2:2" x14ac:dyDescent="0.25">
      <c r="B569" s="1">
        <v>398</v>
      </c>
    </row>
    <row r="570" spans="2:2" x14ac:dyDescent="0.25">
      <c r="B570" s="1">
        <v>582</v>
      </c>
    </row>
    <row r="571" spans="2:2" x14ac:dyDescent="0.25">
      <c r="B571" s="1">
        <v>845</v>
      </c>
    </row>
    <row r="572" spans="2:2" x14ac:dyDescent="0.25">
      <c r="B572" s="1">
        <v>846</v>
      </c>
    </row>
    <row r="573" spans="2:2" x14ac:dyDescent="0.25">
      <c r="B573" s="1">
        <v>188</v>
      </c>
    </row>
    <row r="574" spans="2:2" x14ac:dyDescent="0.25">
      <c r="B574" s="1">
        <v>982</v>
      </c>
    </row>
    <row r="575" spans="2:2" x14ac:dyDescent="0.25">
      <c r="B575" s="1">
        <v>485</v>
      </c>
    </row>
    <row r="576" spans="2:2" x14ac:dyDescent="0.25">
      <c r="B576" s="1">
        <v>73</v>
      </c>
    </row>
    <row r="577" spans="2:2" x14ac:dyDescent="0.25">
      <c r="B577" s="1">
        <v>529</v>
      </c>
    </row>
    <row r="578" spans="2:2" x14ac:dyDescent="0.25">
      <c r="B578" s="1">
        <v>840</v>
      </c>
    </row>
    <row r="579" spans="2:2" x14ac:dyDescent="0.25">
      <c r="B579" s="1">
        <v>593</v>
      </c>
    </row>
    <row r="580" spans="2:2" x14ac:dyDescent="0.25">
      <c r="B580" s="1">
        <v>593</v>
      </c>
    </row>
    <row r="581" spans="2:2" x14ac:dyDescent="0.25">
      <c r="B581" s="1">
        <v>513</v>
      </c>
    </row>
    <row r="582" spans="2:2" x14ac:dyDescent="0.25">
      <c r="B582" s="1">
        <v>288</v>
      </c>
    </row>
    <row r="583" spans="2:2" x14ac:dyDescent="0.25">
      <c r="B583" s="1">
        <v>904</v>
      </c>
    </row>
    <row r="584" spans="2:2" x14ac:dyDescent="0.25">
      <c r="B584" s="1">
        <v>106</v>
      </c>
    </row>
    <row r="585" spans="2:2" x14ac:dyDescent="0.25">
      <c r="B585" s="1">
        <v>397</v>
      </c>
    </row>
    <row r="586" spans="2:2" x14ac:dyDescent="0.25">
      <c r="B586" s="1">
        <v>472</v>
      </c>
    </row>
    <row r="587" spans="2:2" x14ac:dyDescent="0.25">
      <c r="B587" s="1">
        <v>842</v>
      </c>
    </row>
    <row r="588" spans="2:2" x14ac:dyDescent="0.25">
      <c r="B588" s="1">
        <v>404</v>
      </c>
    </row>
    <row r="589" spans="2:2" x14ac:dyDescent="0.25">
      <c r="B589" s="1">
        <v>486</v>
      </c>
    </row>
    <row r="590" spans="2:2" x14ac:dyDescent="0.25">
      <c r="B590" s="1">
        <v>563</v>
      </c>
    </row>
    <row r="591" spans="2:2" x14ac:dyDescent="0.25">
      <c r="B591" s="1">
        <v>195</v>
      </c>
    </row>
    <row r="592" spans="2:2" x14ac:dyDescent="0.25">
      <c r="B592" s="1">
        <v>379</v>
      </c>
    </row>
    <row r="593" spans="2:2" x14ac:dyDescent="0.25">
      <c r="B593" s="1">
        <v>487</v>
      </c>
    </row>
    <row r="594" spans="2:2" x14ac:dyDescent="0.25">
      <c r="B594" s="1">
        <v>404</v>
      </c>
    </row>
    <row r="595" spans="2:2" x14ac:dyDescent="0.25">
      <c r="B595" s="1">
        <v>518</v>
      </c>
    </row>
    <row r="596" spans="2:2" x14ac:dyDescent="0.25">
      <c r="B596" s="1">
        <v>518</v>
      </c>
    </row>
    <row r="597" spans="2:2" x14ac:dyDescent="0.25">
      <c r="B597" s="1">
        <v>542</v>
      </c>
    </row>
    <row r="598" spans="2:2" x14ac:dyDescent="0.25">
      <c r="B598" s="1">
        <v>106</v>
      </c>
    </row>
    <row r="599" spans="2:2" x14ac:dyDescent="0.25">
      <c r="B599" s="1">
        <v>811</v>
      </c>
    </row>
    <row r="600" spans="2:2" x14ac:dyDescent="0.25">
      <c r="B600" s="1">
        <v>63</v>
      </c>
    </row>
    <row r="601" spans="2:2" x14ac:dyDescent="0.25">
      <c r="B601" s="1">
        <v>497</v>
      </c>
    </row>
    <row r="602" spans="2:2" x14ac:dyDescent="0.25">
      <c r="B602" s="1">
        <v>646</v>
      </c>
    </row>
    <row r="603" spans="2:2" x14ac:dyDescent="0.25">
      <c r="B603" s="1">
        <v>620</v>
      </c>
    </row>
    <row r="604" spans="2:2" x14ac:dyDescent="0.25">
      <c r="B604" s="1">
        <v>697</v>
      </c>
    </row>
    <row r="605" spans="2:2" x14ac:dyDescent="0.25">
      <c r="B605" s="1">
        <v>196</v>
      </c>
    </row>
    <row r="606" spans="2:2" x14ac:dyDescent="0.25">
      <c r="B606" s="1">
        <v>785</v>
      </c>
    </row>
    <row r="607" spans="2:2" x14ac:dyDescent="0.25">
      <c r="B607" s="1">
        <v>431</v>
      </c>
    </row>
    <row r="608" spans="2:2" x14ac:dyDescent="0.25">
      <c r="B608" s="1">
        <v>279</v>
      </c>
    </row>
    <row r="609" spans="2:2" x14ac:dyDescent="0.25">
      <c r="B609" s="1">
        <v>468</v>
      </c>
    </row>
    <row r="610" spans="2:2" x14ac:dyDescent="0.25">
      <c r="B610" s="1">
        <v>835</v>
      </c>
    </row>
    <row r="611" spans="2:2" x14ac:dyDescent="0.25">
      <c r="B611" s="1">
        <v>512</v>
      </c>
    </row>
    <row r="612" spans="2:2" x14ac:dyDescent="0.25">
      <c r="B612" s="1">
        <v>770</v>
      </c>
    </row>
    <row r="613" spans="2:2" x14ac:dyDescent="0.25">
      <c r="B613" s="1">
        <v>742</v>
      </c>
    </row>
    <row r="614" spans="2:2" x14ac:dyDescent="0.25">
      <c r="B614" s="1">
        <v>736</v>
      </c>
    </row>
    <row r="615" spans="2:2" x14ac:dyDescent="0.25">
      <c r="B615" s="1">
        <v>973</v>
      </c>
    </row>
    <row r="616" spans="2:2" x14ac:dyDescent="0.25">
      <c r="B616" s="1">
        <v>162</v>
      </c>
    </row>
    <row r="617" spans="2:2" x14ac:dyDescent="0.25">
      <c r="B617" s="1">
        <v>390</v>
      </c>
    </row>
    <row r="618" spans="2:2" x14ac:dyDescent="0.25">
      <c r="B618" s="1">
        <v>44</v>
      </c>
    </row>
    <row r="619" spans="2:2" x14ac:dyDescent="0.25">
      <c r="B619" s="1">
        <v>56</v>
      </c>
    </row>
    <row r="620" spans="2:2" x14ac:dyDescent="0.25">
      <c r="B620" s="1">
        <v>66</v>
      </c>
    </row>
    <row r="621" spans="2:2" x14ac:dyDescent="0.25">
      <c r="B621" s="1">
        <v>191</v>
      </c>
    </row>
    <row r="622" spans="2:2" x14ac:dyDescent="0.25">
      <c r="B622" s="1">
        <v>613</v>
      </c>
    </row>
    <row r="623" spans="2:2" x14ac:dyDescent="0.25">
      <c r="B623" s="1">
        <v>215</v>
      </c>
    </row>
    <row r="624" spans="2:2" x14ac:dyDescent="0.25">
      <c r="B624" s="1">
        <v>908</v>
      </c>
    </row>
    <row r="625" spans="2:2" x14ac:dyDescent="0.25">
      <c r="B625" s="1">
        <v>1</v>
      </c>
    </row>
    <row r="626" spans="2:2" x14ac:dyDescent="0.25">
      <c r="B626" s="1">
        <v>740</v>
      </c>
    </row>
    <row r="627" spans="2:2" x14ac:dyDescent="0.25">
      <c r="B627" s="1">
        <v>614</v>
      </c>
    </row>
    <row r="628" spans="2:2" x14ac:dyDescent="0.25">
      <c r="B628" s="1">
        <v>610</v>
      </c>
    </row>
    <row r="629" spans="2:2" x14ac:dyDescent="0.25">
      <c r="B629" s="1">
        <v>439</v>
      </c>
    </row>
    <row r="630" spans="2:2" x14ac:dyDescent="0.25">
      <c r="B630" s="1">
        <v>405</v>
      </c>
    </row>
    <row r="631" spans="2:2" x14ac:dyDescent="0.25">
      <c r="B631" s="1">
        <v>828</v>
      </c>
    </row>
    <row r="632" spans="2:2" x14ac:dyDescent="0.25">
      <c r="B632" s="1">
        <v>534</v>
      </c>
    </row>
    <row r="633" spans="2:2" x14ac:dyDescent="0.25">
      <c r="B633" s="1">
        <v>974</v>
      </c>
    </row>
    <row r="634" spans="2:2" x14ac:dyDescent="0.25">
      <c r="B634" s="1">
        <v>489</v>
      </c>
    </row>
    <row r="635" spans="2:2" x14ac:dyDescent="0.25">
      <c r="B635" s="1">
        <v>547</v>
      </c>
    </row>
    <row r="636" spans="2:2" x14ac:dyDescent="0.25">
      <c r="B636" s="1">
        <v>792</v>
      </c>
    </row>
    <row r="637" spans="2:2" x14ac:dyDescent="0.25">
      <c r="B637" s="1">
        <v>185</v>
      </c>
    </row>
    <row r="638" spans="2:2" x14ac:dyDescent="0.25">
      <c r="B638" s="1">
        <v>636</v>
      </c>
    </row>
    <row r="639" spans="2:2" x14ac:dyDescent="0.25">
      <c r="B639" s="1">
        <v>72</v>
      </c>
    </row>
    <row r="640" spans="2:2" x14ac:dyDescent="0.25">
      <c r="B640" s="1">
        <v>53</v>
      </c>
    </row>
    <row r="641" spans="2:2" x14ac:dyDescent="0.25">
      <c r="B641" s="1">
        <v>153</v>
      </c>
    </row>
    <row r="642" spans="2:2" x14ac:dyDescent="0.25">
      <c r="B642" s="1">
        <v>812</v>
      </c>
    </row>
    <row r="643" spans="2:2" x14ac:dyDescent="0.25">
      <c r="B643" s="1">
        <v>177</v>
      </c>
    </row>
    <row r="644" spans="2:2" x14ac:dyDescent="0.25">
      <c r="B644" s="1">
        <v>172</v>
      </c>
    </row>
    <row r="645" spans="2:2" x14ac:dyDescent="0.25">
      <c r="B645" s="1">
        <v>907</v>
      </c>
    </row>
    <row r="646" spans="2:2" x14ac:dyDescent="0.25">
      <c r="B646" s="1">
        <v>782</v>
      </c>
    </row>
    <row r="647" spans="2:2" x14ac:dyDescent="0.25">
      <c r="B647" s="1">
        <v>228</v>
      </c>
    </row>
    <row r="648" spans="2:2" x14ac:dyDescent="0.25">
      <c r="B648" s="1">
        <v>389</v>
      </c>
    </row>
    <row r="649" spans="2:2" x14ac:dyDescent="0.25">
      <c r="B649" s="1">
        <v>886</v>
      </c>
    </row>
    <row r="650" spans="2:2" x14ac:dyDescent="0.25">
      <c r="B650" s="1">
        <v>589</v>
      </c>
    </row>
    <row r="651" spans="2:2" x14ac:dyDescent="0.25">
      <c r="B651" s="1">
        <v>773</v>
      </c>
    </row>
    <row r="652" spans="2:2" x14ac:dyDescent="0.25">
      <c r="B652" s="1">
        <v>84</v>
      </c>
    </row>
    <row r="653" spans="2:2" x14ac:dyDescent="0.25">
      <c r="B653" s="1">
        <v>11</v>
      </c>
    </row>
    <row r="654" spans="2:2" x14ac:dyDescent="0.25">
      <c r="B654" s="1">
        <v>396</v>
      </c>
    </row>
    <row r="655" spans="2:2" x14ac:dyDescent="0.25">
      <c r="B655" s="1">
        <v>225</v>
      </c>
    </row>
    <row r="656" spans="2:2" x14ac:dyDescent="0.25">
      <c r="B656" s="1">
        <v>47</v>
      </c>
    </row>
    <row r="657" spans="2:2" x14ac:dyDescent="0.25">
      <c r="B657" s="1">
        <v>548</v>
      </c>
    </row>
    <row r="658" spans="2:2" x14ac:dyDescent="0.25">
      <c r="B658" s="1">
        <v>194</v>
      </c>
    </row>
    <row r="659" spans="2:2" x14ac:dyDescent="0.25">
      <c r="B659" s="1">
        <v>114</v>
      </c>
    </row>
    <row r="660" spans="2:2" x14ac:dyDescent="0.25">
      <c r="B660" s="1">
        <v>948</v>
      </c>
    </row>
    <row r="661" spans="2:2" x14ac:dyDescent="0.25">
      <c r="B661" s="1">
        <v>286</v>
      </c>
    </row>
    <row r="662" spans="2:2" x14ac:dyDescent="0.25">
      <c r="B662" s="1">
        <v>390</v>
      </c>
    </row>
    <row r="663" spans="2:2" x14ac:dyDescent="0.25">
      <c r="B663" s="1">
        <v>633</v>
      </c>
    </row>
    <row r="664" spans="2:2" x14ac:dyDescent="0.25">
      <c r="B664" s="1">
        <v>353</v>
      </c>
    </row>
    <row r="665" spans="2:2" x14ac:dyDescent="0.25">
      <c r="B665" s="1">
        <v>560</v>
      </c>
    </row>
    <row r="666" spans="2:2" x14ac:dyDescent="0.25">
      <c r="B666" s="1">
        <v>899</v>
      </c>
    </row>
    <row r="667" spans="2:2" x14ac:dyDescent="0.25">
      <c r="B667" s="1">
        <v>942</v>
      </c>
    </row>
    <row r="668" spans="2:2" x14ac:dyDescent="0.25">
      <c r="B668" s="1">
        <v>559</v>
      </c>
    </row>
    <row r="669" spans="2:2" x14ac:dyDescent="0.25">
      <c r="B669" s="1">
        <v>993</v>
      </c>
    </row>
    <row r="670" spans="2:2" x14ac:dyDescent="0.25">
      <c r="B670" s="1">
        <v>447</v>
      </c>
    </row>
    <row r="671" spans="2:2" x14ac:dyDescent="0.25">
      <c r="B671" s="1">
        <v>750</v>
      </c>
    </row>
    <row r="672" spans="2:2" x14ac:dyDescent="0.25">
      <c r="B672" s="1">
        <v>45</v>
      </c>
    </row>
    <row r="673" spans="2:2" x14ac:dyDescent="0.25">
      <c r="B673" s="1">
        <v>563</v>
      </c>
    </row>
    <row r="674" spans="2:2" x14ac:dyDescent="0.25">
      <c r="B674" s="1">
        <v>776</v>
      </c>
    </row>
    <row r="675" spans="2:2" x14ac:dyDescent="0.25">
      <c r="B675" s="1">
        <v>266</v>
      </c>
    </row>
    <row r="676" spans="2:2" x14ac:dyDescent="0.25">
      <c r="B676" s="1">
        <v>998</v>
      </c>
    </row>
    <row r="677" spans="2:2" x14ac:dyDescent="0.25">
      <c r="B677" s="1">
        <v>355</v>
      </c>
    </row>
    <row r="678" spans="2:2" x14ac:dyDescent="0.25">
      <c r="B678" s="1">
        <v>870</v>
      </c>
    </row>
    <row r="679" spans="2:2" x14ac:dyDescent="0.25">
      <c r="B679" s="1">
        <v>764</v>
      </c>
    </row>
    <row r="680" spans="2:2" x14ac:dyDescent="0.25">
      <c r="B680" s="1">
        <v>751</v>
      </c>
    </row>
    <row r="681" spans="2:2" x14ac:dyDescent="0.25">
      <c r="B681" s="1">
        <v>532</v>
      </c>
    </row>
    <row r="682" spans="2:2" x14ac:dyDescent="0.25">
      <c r="B682" s="1">
        <v>565</v>
      </c>
    </row>
    <row r="683" spans="2:2" x14ac:dyDescent="0.25">
      <c r="B683" s="1">
        <v>301</v>
      </c>
    </row>
    <row r="684" spans="2:2" x14ac:dyDescent="0.25">
      <c r="B684" s="1">
        <v>18</v>
      </c>
    </row>
    <row r="685" spans="2:2" x14ac:dyDescent="0.25">
      <c r="B685" s="1">
        <v>9</v>
      </c>
    </row>
    <row r="686" spans="2:2" x14ac:dyDescent="0.25">
      <c r="B686" s="1">
        <v>79</v>
      </c>
    </row>
    <row r="687" spans="2:2" x14ac:dyDescent="0.25">
      <c r="B687" s="1">
        <v>99</v>
      </c>
    </row>
    <row r="688" spans="2:2" x14ac:dyDescent="0.25">
      <c r="B688" s="1">
        <v>584</v>
      </c>
    </row>
    <row r="689" spans="2:2" x14ac:dyDescent="0.25">
      <c r="B689" s="1">
        <v>512</v>
      </c>
    </row>
    <row r="690" spans="2:2" x14ac:dyDescent="0.25">
      <c r="B690" s="1">
        <v>727</v>
      </c>
    </row>
    <row r="691" spans="2:2" x14ac:dyDescent="0.25">
      <c r="B691" s="1">
        <v>158</v>
      </c>
    </row>
    <row r="692" spans="2:2" x14ac:dyDescent="0.25">
      <c r="B692" s="1">
        <v>788</v>
      </c>
    </row>
    <row r="693" spans="2:2" x14ac:dyDescent="0.25">
      <c r="B693" s="1">
        <v>822</v>
      </c>
    </row>
    <row r="694" spans="2:2" x14ac:dyDescent="0.25">
      <c r="B694" s="1">
        <v>341</v>
      </c>
    </row>
    <row r="695" spans="2:2" x14ac:dyDescent="0.25">
      <c r="B695" s="1">
        <v>747</v>
      </c>
    </row>
    <row r="696" spans="2:2" x14ac:dyDescent="0.25">
      <c r="B696" s="1">
        <v>724</v>
      </c>
    </row>
    <row r="697" spans="2:2" x14ac:dyDescent="0.25">
      <c r="B697" s="1">
        <v>367</v>
      </c>
    </row>
    <row r="698" spans="2:2" x14ac:dyDescent="0.25">
      <c r="B698" s="1">
        <v>828</v>
      </c>
    </row>
    <row r="699" spans="2:2" x14ac:dyDescent="0.25">
      <c r="B699" s="1">
        <v>667</v>
      </c>
    </row>
    <row r="700" spans="2:2" x14ac:dyDescent="0.25">
      <c r="B700" s="1">
        <v>394</v>
      </c>
    </row>
    <row r="701" spans="2:2" x14ac:dyDescent="0.25">
      <c r="B701" s="1">
        <v>202</v>
      </c>
    </row>
    <row r="702" spans="2:2" x14ac:dyDescent="0.25">
      <c r="B702" s="1">
        <v>565</v>
      </c>
    </row>
    <row r="703" spans="2:2" x14ac:dyDescent="0.25">
      <c r="B703" s="1">
        <v>887</v>
      </c>
    </row>
    <row r="704" spans="2:2" x14ac:dyDescent="0.25">
      <c r="B704" s="1">
        <v>562</v>
      </c>
    </row>
    <row r="705" spans="2:2" x14ac:dyDescent="0.25">
      <c r="B705" s="1">
        <v>718</v>
      </c>
    </row>
    <row r="706" spans="2:2" x14ac:dyDescent="0.25">
      <c r="B706" s="1">
        <v>432</v>
      </c>
    </row>
    <row r="707" spans="2:2" x14ac:dyDescent="0.25">
      <c r="B707" s="1">
        <v>880</v>
      </c>
    </row>
    <row r="708" spans="2:2" x14ac:dyDescent="0.25">
      <c r="B708" s="1">
        <v>906</v>
      </c>
    </row>
    <row r="709" spans="2:2" x14ac:dyDescent="0.25">
      <c r="B709" s="1">
        <v>503</v>
      </c>
    </row>
    <row r="710" spans="2:2" x14ac:dyDescent="0.25">
      <c r="B710" s="1">
        <v>876</v>
      </c>
    </row>
    <row r="711" spans="2:2" x14ac:dyDescent="0.25">
      <c r="B711" s="1">
        <v>741</v>
      </c>
    </row>
    <row r="712" spans="2:2" x14ac:dyDescent="0.25">
      <c r="B712" s="1">
        <v>59</v>
      </c>
    </row>
    <row r="713" spans="2:2" x14ac:dyDescent="0.25">
      <c r="B713" s="1">
        <v>861</v>
      </c>
    </row>
    <row r="714" spans="2:2" x14ac:dyDescent="0.25">
      <c r="B714" s="1">
        <v>437</v>
      </c>
    </row>
    <row r="715" spans="2:2" x14ac:dyDescent="0.25">
      <c r="B715" s="1">
        <v>111</v>
      </c>
    </row>
    <row r="716" spans="2:2" x14ac:dyDescent="0.25">
      <c r="B716" s="1">
        <v>577</v>
      </c>
    </row>
    <row r="717" spans="2:2" x14ac:dyDescent="0.25">
      <c r="B717" s="1">
        <v>851</v>
      </c>
    </row>
    <row r="718" spans="2:2" x14ac:dyDescent="0.25">
      <c r="B718" s="1">
        <v>848</v>
      </c>
    </row>
    <row r="719" spans="2:2" x14ac:dyDescent="0.25">
      <c r="B719" s="1">
        <v>203</v>
      </c>
    </row>
    <row r="720" spans="2:2" x14ac:dyDescent="0.25">
      <c r="B720" s="1">
        <v>158</v>
      </c>
    </row>
    <row r="721" spans="2:2" x14ac:dyDescent="0.25">
      <c r="B721" s="1">
        <v>32</v>
      </c>
    </row>
    <row r="722" spans="2:2" x14ac:dyDescent="0.25">
      <c r="B722" s="1">
        <v>265</v>
      </c>
    </row>
    <row r="723" spans="2:2" x14ac:dyDescent="0.25">
      <c r="B723" s="1">
        <v>587</v>
      </c>
    </row>
    <row r="724" spans="2:2" x14ac:dyDescent="0.25">
      <c r="B724" s="1">
        <v>838</v>
      </c>
    </row>
    <row r="725" spans="2:2" x14ac:dyDescent="0.25">
      <c r="B725" s="1">
        <v>415</v>
      </c>
    </row>
    <row r="726" spans="2:2" x14ac:dyDescent="0.25">
      <c r="B726" s="1">
        <v>359</v>
      </c>
    </row>
    <row r="727" spans="2:2" x14ac:dyDescent="0.25">
      <c r="B727" s="1">
        <v>58</v>
      </c>
    </row>
    <row r="728" spans="2:2" x14ac:dyDescent="0.25">
      <c r="B728" s="1">
        <v>887</v>
      </c>
    </row>
    <row r="729" spans="2:2" x14ac:dyDescent="0.25">
      <c r="B729" s="1">
        <v>317</v>
      </c>
    </row>
    <row r="730" spans="2:2" x14ac:dyDescent="0.25">
      <c r="B730" s="1">
        <v>17</v>
      </c>
    </row>
    <row r="731" spans="2:2" x14ac:dyDescent="0.25">
      <c r="B731" s="1">
        <v>343</v>
      </c>
    </row>
    <row r="732" spans="2:2" x14ac:dyDescent="0.25">
      <c r="B732" s="1">
        <v>690</v>
      </c>
    </row>
    <row r="733" spans="2:2" x14ac:dyDescent="0.25">
      <c r="B733" s="1">
        <v>226</v>
      </c>
    </row>
    <row r="734" spans="2:2" x14ac:dyDescent="0.25">
      <c r="B734" s="1">
        <v>284</v>
      </c>
    </row>
    <row r="735" spans="2:2" x14ac:dyDescent="0.25">
      <c r="B735" s="1">
        <v>538</v>
      </c>
    </row>
    <row r="736" spans="2:2" x14ac:dyDescent="0.25">
      <c r="B736" s="1">
        <v>230</v>
      </c>
    </row>
    <row r="737" spans="2:2" x14ac:dyDescent="0.25">
      <c r="B737" s="1">
        <v>402</v>
      </c>
    </row>
    <row r="738" spans="2:2" x14ac:dyDescent="0.25">
      <c r="B738" s="1">
        <v>440</v>
      </c>
    </row>
    <row r="739" spans="2:2" x14ac:dyDescent="0.25">
      <c r="B739" s="1">
        <v>23</v>
      </c>
    </row>
    <row r="740" spans="2:2" x14ac:dyDescent="0.25">
      <c r="B740" s="1">
        <v>651</v>
      </c>
    </row>
    <row r="741" spans="2:2" x14ac:dyDescent="0.25">
      <c r="B741" s="1">
        <v>239</v>
      </c>
    </row>
    <row r="742" spans="2:2" x14ac:dyDescent="0.25">
      <c r="B742" s="1">
        <v>556</v>
      </c>
    </row>
    <row r="743" spans="2:2" x14ac:dyDescent="0.25">
      <c r="B743" s="1">
        <v>98</v>
      </c>
    </row>
    <row r="744" spans="2:2" x14ac:dyDescent="0.25">
      <c r="B744" s="1">
        <v>441</v>
      </c>
    </row>
    <row r="745" spans="2:2" x14ac:dyDescent="0.25">
      <c r="B745" s="1">
        <v>196</v>
      </c>
    </row>
    <row r="746" spans="2:2" x14ac:dyDescent="0.25">
      <c r="B746" s="1">
        <v>452</v>
      </c>
    </row>
    <row r="747" spans="2:2" x14ac:dyDescent="0.25">
      <c r="B747" s="1">
        <v>679</v>
      </c>
    </row>
    <row r="748" spans="2:2" x14ac:dyDescent="0.25">
      <c r="B748" s="1">
        <v>249</v>
      </c>
    </row>
    <row r="749" spans="2:2" x14ac:dyDescent="0.25">
      <c r="B749" s="1">
        <v>743</v>
      </c>
    </row>
    <row r="750" spans="2:2" x14ac:dyDescent="0.25">
      <c r="B750" s="1">
        <v>529</v>
      </c>
    </row>
    <row r="751" spans="2:2" x14ac:dyDescent="0.25">
      <c r="B751" s="1">
        <v>950</v>
      </c>
    </row>
    <row r="752" spans="2:2" x14ac:dyDescent="0.25">
      <c r="B752" s="1">
        <v>926</v>
      </c>
    </row>
    <row r="753" spans="2:2" x14ac:dyDescent="0.25">
      <c r="B753" s="1">
        <v>905</v>
      </c>
    </row>
    <row r="754" spans="2:2" x14ac:dyDescent="0.25">
      <c r="B754" s="1">
        <v>899</v>
      </c>
    </row>
    <row r="755" spans="2:2" x14ac:dyDescent="0.25">
      <c r="B755" s="1">
        <v>969</v>
      </c>
    </row>
    <row r="756" spans="2:2" x14ac:dyDescent="0.25">
      <c r="B756" s="1">
        <v>885</v>
      </c>
    </row>
    <row r="757" spans="2:2" x14ac:dyDescent="0.25">
      <c r="B757" s="1">
        <v>1000</v>
      </c>
    </row>
    <row r="758" spans="2:2" x14ac:dyDescent="0.25">
      <c r="B758" s="1">
        <v>1</v>
      </c>
    </row>
    <row r="759" spans="2:2" x14ac:dyDescent="0.25">
      <c r="B759" s="1">
        <v>702</v>
      </c>
    </row>
    <row r="760" spans="2:2" x14ac:dyDescent="0.25">
      <c r="B760" s="1">
        <v>337</v>
      </c>
    </row>
    <row r="761" spans="2:2" x14ac:dyDescent="0.25">
      <c r="B761" s="1">
        <v>800</v>
      </c>
    </row>
    <row r="762" spans="2:2" x14ac:dyDescent="0.25">
      <c r="B762" s="1">
        <v>758</v>
      </c>
    </row>
    <row r="763" spans="2:2" x14ac:dyDescent="0.25">
      <c r="B763" s="1">
        <v>145</v>
      </c>
    </row>
    <row r="764" spans="2:2" x14ac:dyDescent="0.25">
      <c r="B764" s="1">
        <v>108</v>
      </c>
    </row>
    <row r="765" spans="2:2" x14ac:dyDescent="0.25">
      <c r="B765" s="1">
        <v>888</v>
      </c>
    </row>
    <row r="766" spans="2:2" x14ac:dyDescent="0.25">
      <c r="B766" s="1">
        <v>166</v>
      </c>
    </row>
    <row r="767" spans="2:2" x14ac:dyDescent="0.25">
      <c r="B767" s="1">
        <v>520</v>
      </c>
    </row>
    <row r="768" spans="2:2" x14ac:dyDescent="0.25">
      <c r="B768" s="1">
        <v>246</v>
      </c>
    </row>
    <row r="769" spans="2:2" x14ac:dyDescent="0.25">
      <c r="B769" s="1">
        <v>906</v>
      </c>
    </row>
    <row r="770" spans="2:2" x14ac:dyDescent="0.25">
      <c r="B770" s="1">
        <v>940</v>
      </c>
    </row>
    <row r="771" spans="2:2" x14ac:dyDescent="0.25">
      <c r="B771" s="1">
        <v>806</v>
      </c>
    </row>
    <row r="772" spans="2:2" x14ac:dyDescent="0.25">
      <c r="B772" s="1">
        <v>476</v>
      </c>
    </row>
    <row r="773" spans="2:2" x14ac:dyDescent="0.25">
      <c r="B773" s="1">
        <v>602</v>
      </c>
    </row>
    <row r="774" spans="2:2" x14ac:dyDescent="0.25">
      <c r="B774" s="1">
        <v>666</v>
      </c>
    </row>
    <row r="775" spans="2:2" x14ac:dyDescent="0.25">
      <c r="B775" s="1">
        <v>63</v>
      </c>
    </row>
    <row r="776" spans="2:2" x14ac:dyDescent="0.25">
      <c r="B776" s="1">
        <v>697</v>
      </c>
    </row>
    <row r="777" spans="2:2" x14ac:dyDescent="0.25">
      <c r="B777" s="1">
        <v>933</v>
      </c>
    </row>
    <row r="778" spans="2:2" x14ac:dyDescent="0.25">
      <c r="B778" s="1">
        <v>718</v>
      </c>
    </row>
    <row r="779" spans="2:2" x14ac:dyDescent="0.25">
      <c r="B779" s="1">
        <v>314</v>
      </c>
    </row>
    <row r="780" spans="2:2" x14ac:dyDescent="0.25">
      <c r="B780" s="1">
        <v>358</v>
      </c>
    </row>
    <row r="781" spans="2:2" x14ac:dyDescent="0.25">
      <c r="B781" s="1">
        <v>926</v>
      </c>
    </row>
    <row r="782" spans="2:2" x14ac:dyDescent="0.25">
      <c r="B782" s="1">
        <v>408</v>
      </c>
    </row>
    <row r="783" spans="2:2" x14ac:dyDescent="0.25">
      <c r="B783" s="1">
        <v>804</v>
      </c>
    </row>
    <row r="784" spans="2:2" x14ac:dyDescent="0.25">
      <c r="B784" s="1">
        <v>644</v>
      </c>
    </row>
    <row r="785" spans="2:2" x14ac:dyDescent="0.25">
      <c r="B785" s="1">
        <v>197</v>
      </c>
    </row>
    <row r="786" spans="2:2" x14ac:dyDescent="0.25">
      <c r="B786" s="1">
        <v>22</v>
      </c>
    </row>
    <row r="787" spans="2:2" x14ac:dyDescent="0.25">
      <c r="B787" s="1">
        <v>718</v>
      </c>
    </row>
    <row r="788" spans="2:2" x14ac:dyDescent="0.25">
      <c r="B788" s="1">
        <v>608</v>
      </c>
    </row>
    <row r="789" spans="2:2" x14ac:dyDescent="0.25">
      <c r="B789" s="1">
        <v>837</v>
      </c>
    </row>
    <row r="790" spans="2:2" x14ac:dyDescent="0.25">
      <c r="B790" s="1">
        <v>19</v>
      </c>
    </row>
    <row r="791" spans="2:2" x14ac:dyDescent="0.25">
      <c r="B791" s="1">
        <v>38</v>
      </c>
    </row>
    <row r="792" spans="2:2" x14ac:dyDescent="0.25">
      <c r="B792" s="1">
        <v>746</v>
      </c>
    </row>
    <row r="793" spans="2:2" x14ac:dyDescent="0.25">
      <c r="B793" s="1">
        <v>864</v>
      </c>
    </row>
    <row r="794" spans="2:2" x14ac:dyDescent="0.25">
      <c r="B794" s="1">
        <v>750</v>
      </c>
    </row>
    <row r="795" spans="2:2" x14ac:dyDescent="0.25">
      <c r="B795" s="1">
        <v>520</v>
      </c>
    </row>
    <row r="796" spans="2:2" x14ac:dyDescent="0.25">
      <c r="B796" s="1">
        <v>895</v>
      </c>
    </row>
    <row r="797" spans="2:2" x14ac:dyDescent="0.25">
      <c r="B797" s="1">
        <v>268</v>
      </c>
    </row>
    <row r="798" spans="2:2" x14ac:dyDescent="0.25">
      <c r="B798" s="1">
        <v>489</v>
      </c>
    </row>
    <row r="799" spans="2:2" x14ac:dyDescent="0.25">
      <c r="B799" s="1">
        <v>176</v>
      </c>
    </row>
    <row r="800" spans="2:2" x14ac:dyDescent="0.25">
      <c r="B800" s="1">
        <v>953</v>
      </c>
    </row>
    <row r="801" spans="2:2" x14ac:dyDescent="0.25">
      <c r="B801" s="1">
        <v>253</v>
      </c>
    </row>
    <row r="802" spans="2:2" x14ac:dyDescent="0.25">
      <c r="B802" s="1">
        <v>882</v>
      </c>
    </row>
    <row r="803" spans="2:2" x14ac:dyDescent="0.25">
      <c r="B803" s="1">
        <v>977</v>
      </c>
    </row>
    <row r="804" spans="2:2" x14ac:dyDescent="0.25">
      <c r="B804" s="1">
        <v>407</v>
      </c>
    </row>
    <row r="805" spans="2:2" x14ac:dyDescent="0.25">
      <c r="B805" s="1">
        <v>192</v>
      </c>
    </row>
    <row r="806" spans="2:2" x14ac:dyDescent="0.25">
      <c r="B806" s="1">
        <v>564</v>
      </c>
    </row>
    <row r="807" spans="2:2" x14ac:dyDescent="0.25">
      <c r="B807" s="1">
        <v>969</v>
      </c>
    </row>
    <row r="808" spans="2:2" x14ac:dyDescent="0.25">
      <c r="B808" s="1">
        <v>171</v>
      </c>
    </row>
    <row r="809" spans="2:2" x14ac:dyDescent="0.25">
      <c r="B809" s="1">
        <v>894</v>
      </c>
    </row>
    <row r="810" spans="2:2" x14ac:dyDescent="0.25">
      <c r="B810" s="1">
        <v>813</v>
      </c>
    </row>
    <row r="811" spans="2:2" x14ac:dyDescent="0.25">
      <c r="B811" s="1">
        <v>251</v>
      </c>
    </row>
    <row r="812" spans="2:2" x14ac:dyDescent="0.25">
      <c r="B812" s="1">
        <v>664</v>
      </c>
    </row>
    <row r="813" spans="2:2" x14ac:dyDescent="0.25">
      <c r="B813" s="1">
        <v>768</v>
      </c>
    </row>
    <row r="814" spans="2:2" x14ac:dyDescent="0.25">
      <c r="B814" s="1">
        <v>289</v>
      </c>
    </row>
    <row r="815" spans="2:2" x14ac:dyDescent="0.25">
      <c r="B815" s="1">
        <v>521</v>
      </c>
    </row>
    <row r="816" spans="2:2" x14ac:dyDescent="0.25">
      <c r="B816" s="1">
        <v>73</v>
      </c>
    </row>
    <row r="817" spans="2:2" x14ac:dyDescent="0.25">
      <c r="B817" s="1">
        <v>813</v>
      </c>
    </row>
    <row r="818" spans="2:2" x14ac:dyDescent="0.25">
      <c r="B818" s="1">
        <v>587</v>
      </c>
    </row>
    <row r="819" spans="2:2" x14ac:dyDescent="0.25">
      <c r="B819" s="1">
        <v>19</v>
      </c>
    </row>
    <row r="820" spans="2:2" x14ac:dyDescent="0.25">
      <c r="B820" s="1">
        <v>834</v>
      </c>
    </row>
    <row r="821" spans="2:2" x14ac:dyDescent="0.25">
      <c r="B821" s="1">
        <v>653</v>
      </c>
    </row>
    <row r="822" spans="2:2" x14ac:dyDescent="0.25">
      <c r="B822" s="1">
        <v>157</v>
      </c>
    </row>
    <row r="823" spans="2:2" x14ac:dyDescent="0.25">
      <c r="B823" s="1">
        <v>194</v>
      </c>
    </row>
    <row r="824" spans="2:2" x14ac:dyDescent="0.25">
      <c r="B824" s="1">
        <v>923</v>
      </c>
    </row>
    <row r="825" spans="2:2" x14ac:dyDescent="0.25">
      <c r="B825" s="1">
        <v>315</v>
      </c>
    </row>
    <row r="826" spans="2:2" x14ac:dyDescent="0.25">
      <c r="B826" s="1">
        <v>892</v>
      </c>
    </row>
    <row r="827" spans="2:2" x14ac:dyDescent="0.25">
      <c r="B827" s="1">
        <v>26</v>
      </c>
    </row>
    <row r="828" spans="2:2" x14ac:dyDescent="0.25">
      <c r="B828" s="1">
        <v>786</v>
      </c>
    </row>
    <row r="829" spans="2:2" x14ac:dyDescent="0.25">
      <c r="B829" s="1">
        <v>24</v>
      </c>
    </row>
    <row r="830" spans="2:2" x14ac:dyDescent="0.25">
      <c r="B830" s="1">
        <v>318</v>
      </c>
    </row>
    <row r="831" spans="2:2" x14ac:dyDescent="0.25">
      <c r="B831" s="1">
        <v>399</v>
      </c>
    </row>
    <row r="832" spans="2:2" x14ac:dyDescent="0.25">
      <c r="B832" s="1">
        <v>137</v>
      </c>
    </row>
    <row r="833" spans="2:2" x14ac:dyDescent="0.25">
      <c r="B833" s="1">
        <v>568</v>
      </c>
    </row>
    <row r="834" spans="2:2" x14ac:dyDescent="0.25">
      <c r="B834" s="1">
        <v>699</v>
      </c>
    </row>
    <row r="835" spans="2:2" x14ac:dyDescent="0.25">
      <c r="B835" s="1">
        <v>890</v>
      </c>
    </row>
    <row r="836" spans="2:2" x14ac:dyDescent="0.25">
      <c r="B836" s="1">
        <v>126</v>
      </c>
    </row>
    <row r="837" spans="2:2" x14ac:dyDescent="0.25">
      <c r="B837" s="1">
        <v>272</v>
      </c>
    </row>
    <row r="838" spans="2:2" x14ac:dyDescent="0.25">
      <c r="B838" s="1">
        <v>401</v>
      </c>
    </row>
    <row r="839" spans="2:2" x14ac:dyDescent="0.25">
      <c r="B839" s="1">
        <v>432</v>
      </c>
    </row>
    <row r="840" spans="2:2" x14ac:dyDescent="0.25">
      <c r="B840" s="1">
        <v>76</v>
      </c>
    </row>
    <row r="841" spans="2:2" x14ac:dyDescent="0.25">
      <c r="B841" s="1">
        <v>384</v>
      </c>
    </row>
    <row r="842" spans="2:2" x14ac:dyDescent="0.25">
      <c r="B842" s="1">
        <v>505</v>
      </c>
    </row>
    <row r="843" spans="2:2" x14ac:dyDescent="0.25">
      <c r="B843" s="1">
        <v>538</v>
      </c>
    </row>
    <row r="844" spans="2:2" x14ac:dyDescent="0.25">
      <c r="B844" s="1">
        <v>460</v>
      </c>
    </row>
    <row r="845" spans="2:2" x14ac:dyDescent="0.25">
      <c r="B845" s="1">
        <v>506</v>
      </c>
    </row>
    <row r="846" spans="2:2" x14ac:dyDescent="0.25">
      <c r="B846" s="1">
        <v>584</v>
      </c>
    </row>
    <row r="847" spans="2:2" x14ac:dyDescent="0.25">
      <c r="B847" s="1">
        <v>77</v>
      </c>
    </row>
    <row r="848" spans="2:2" x14ac:dyDescent="0.25">
      <c r="B848" s="1">
        <v>497</v>
      </c>
    </row>
    <row r="849" spans="2:2" x14ac:dyDescent="0.25">
      <c r="B849" s="1">
        <v>90</v>
      </c>
    </row>
    <row r="850" spans="2:2" x14ac:dyDescent="0.25">
      <c r="B850" s="1">
        <v>389</v>
      </c>
    </row>
    <row r="851" spans="2:2" x14ac:dyDescent="0.25">
      <c r="B851" s="1">
        <v>856</v>
      </c>
    </row>
    <row r="852" spans="2:2" x14ac:dyDescent="0.25">
      <c r="B852" s="1">
        <v>821</v>
      </c>
    </row>
    <row r="853" spans="2:2" x14ac:dyDescent="0.25">
      <c r="B853" s="1">
        <v>497</v>
      </c>
    </row>
    <row r="854" spans="2:2" x14ac:dyDescent="0.25">
      <c r="B854" s="1">
        <v>186</v>
      </c>
    </row>
    <row r="855" spans="2:2" x14ac:dyDescent="0.25">
      <c r="B855" s="1">
        <v>495</v>
      </c>
    </row>
    <row r="856" spans="2:2" x14ac:dyDescent="0.25">
      <c r="B856" s="1">
        <v>548</v>
      </c>
    </row>
    <row r="857" spans="2:2" x14ac:dyDescent="0.25">
      <c r="B857" s="1">
        <v>458</v>
      </c>
    </row>
    <row r="858" spans="2:2" x14ac:dyDescent="0.25">
      <c r="B858" s="1">
        <v>230</v>
      </c>
    </row>
    <row r="859" spans="2:2" x14ac:dyDescent="0.25">
      <c r="B859" s="1">
        <v>229</v>
      </c>
    </row>
    <row r="860" spans="2:2" x14ac:dyDescent="0.25">
      <c r="B860" s="1">
        <v>410</v>
      </c>
    </row>
    <row r="861" spans="2:2" x14ac:dyDescent="0.25">
      <c r="B861" s="1">
        <v>556</v>
      </c>
    </row>
    <row r="862" spans="2:2" x14ac:dyDescent="0.25">
      <c r="B862" s="1">
        <v>73</v>
      </c>
    </row>
    <row r="863" spans="2:2" x14ac:dyDescent="0.25">
      <c r="B863" s="1">
        <v>887</v>
      </c>
    </row>
    <row r="864" spans="2:2" x14ac:dyDescent="0.25">
      <c r="B864" s="1">
        <v>41</v>
      </c>
    </row>
    <row r="865" spans="2:2" x14ac:dyDescent="0.25">
      <c r="B865" s="1">
        <v>591</v>
      </c>
    </row>
    <row r="866" spans="2:2" x14ac:dyDescent="0.25">
      <c r="B866" s="1">
        <v>633</v>
      </c>
    </row>
    <row r="867" spans="2:2" x14ac:dyDescent="0.25">
      <c r="B867" s="1">
        <v>66</v>
      </c>
    </row>
    <row r="868" spans="2:2" x14ac:dyDescent="0.25">
      <c r="B868" s="1">
        <v>466</v>
      </c>
    </row>
    <row r="869" spans="2:2" x14ac:dyDescent="0.25">
      <c r="B869" s="1">
        <v>683</v>
      </c>
    </row>
    <row r="870" spans="2:2" x14ac:dyDescent="0.25">
      <c r="B870" s="1">
        <v>588</v>
      </c>
    </row>
    <row r="871" spans="2:2" x14ac:dyDescent="0.25">
      <c r="B871" s="1">
        <v>785</v>
      </c>
    </row>
    <row r="872" spans="2:2" x14ac:dyDescent="0.25">
      <c r="B872" s="1">
        <v>95</v>
      </c>
    </row>
    <row r="873" spans="2:2" x14ac:dyDescent="0.25">
      <c r="B873" s="1">
        <v>502</v>
      </c>
    </row>
    <row r="874" spans="2:2" x14ac:dyDescent="0.25">
      <c r="B874" s="1">
        <v>737</v>
      </c>
    </row>
    <row r="875" spans="2:2" x14ac:dyDescent="0.25">
      <c r="B875" s="1">
        <v>486</v>
      </c>
    </row>
    <row r="876" spans="2:2" x14ac:dyDescent="0.25">
      <c r="B876" s="1">
        <v>226</v>
      </c>
    </row>
    <row r="877" spans="2:2" x14ac:dyDescent="0.25">
      <c r="B877" s="1">
        <v>430</v>
      </c>
    </row>
    <row r="878" spans="2:2" x14ac:dyDescent="0.25">
      <c r="B878" s="1">
        <v>325</v>
      </c>
    </row>
    <row r="879" spans="2:2" x14ac:dyDescent="0.25">
      <c r="B879" s="1">
        <v>443</v>
      </c>
    </row>
    <row r="880" spans="2:2" x14ac:dyDescent="0.25">
      <c r="B880" s="1">
        <v>509</v>
      </c>
    </row>
    <row r="881" spans="2:2" x14ac:dyDescent="0.25">
      <c r="B881" s="1">
        <v>791</v>
      </c>
    </row>
    <row r="882" spans="2:2" x14ac:dyDescent="0.25">
      <c r="B882" s="1">
        <v>975</v>
      </c>
    </row>
    <row r="883" spans="2:2" x14ac:dyDescent="0.25">
      <c r="B883" s="1">
        <v>93</v>
      </c>
    </row>
    <row r="884" spans="2:2" x14ac:dyDescent="0.25">
      <c r="B884" s="1">
        <v>167</v>
      </c>
    </row>
    <row r="885" spans="2:2" x14ac:dyDescent="0.25">
      <c r="B885" s="1">
        <v>38</v>
      </c>
    </row>
    <row r="886" spans="2:2" x14ac:dyDescent="0.25">
      <c r="B886" s="1">
        <v>239</v>
      </c>
    </row>
    <row r="887" spans="2:2" x14ac:dyDescent="0.25">
      <c r="B887" s="1">
        <v>747</v>
      </c>
    </row>
    <row r="888" spans="2:2" x14ac:dyDescent="0.25">
      <c r="B888" s="1">
        <v>491</v>
      </c>
    </row>
    <row r="889" spans="2:2" x14ac:dyDescent="0.25">
      <c r="B889" s="1">
        <v>977</v>
      </c>
    </row>
    <row r="890" spans="2:2" x14ac:dyDescent="0.25">
      <c r="B890" s="1">
        <v>152</v>
      </c>
    </row>
    <row r="891" spans="2:2" x14ac:dyDescent="0.25">
      <c r="B891" s="1">
        <v>77</v>
      </c>
    </row>
    <row r="892" spans="2:2" x14ac:dyDescent="0.25">
      <c r="B892" s="1">
        <v>759</v>
      </c>
    </row>
    <row r="893" spans="2:2" x14ac:dyDescent="0.25">
      <c r="B893" s="1">
        <v>273</v>
      </c>
    </row>
    <row r="894" spans="2:2" x14ac:dyDescent="0.25">
      <c r="B894" s="1">
        <v>892</v>
      </c>
    </row>
    <row r="895" spans="2:2" x14ac:dyDescent="0.25">
      <c r="B895" s="1">
        <v>83</v>
      </c>
    </row>
    <row r="896" spans="2:2" x14ac:dyDescent="0.25">
      <c r="B896" s="1">
        <v>770</v>
      </c>
    </row>
    <row r="897" spans="2:2" x14ac:dyDescent="0.25">
      <c r="B897" s="1">
        <v>320</v>
      </c>
    </row>
    <row r="898" spans="2:2" x14ac:dyDescent="0.25">
      <c r="B898" s="1">
        <v>496</v>
      </c>
    </row>
    <row r="899" spans="2:2" x14ac:dyDescent="0.25">
      <c r="B899" s="1">
        <v>897</v>
      </c>
    </row>
    <row r="900" spans="2:2" x14ac:dyDescent="0.25">
      <c r="B900" s="1">
        <v>612</v>
      </c>
    </row>
    <row r="901" spans="2:2" x14ac:dyDescent="0.25">
      <c r="B901" s="1">
        <v>378</v>
      </c>
    </row>
    <row r="902" spans="2:2" x14ac:dyDescent="0.25">
      <c r="B902" s="1">
        <v>958</v>
      </c>
    </row>
    <row r="903" spans="2:2" x14ac:dyDescent="0.25">
      <c r="B903" s="1">
        <v>986</v>
      </c>
    </row>
    <row r="904" spans="2:2" x14ac:dyDescent="0.25">
      <c r="B904" s="1">
        <v>410</v>
      </c>
    </row>
    <row r="905" spans="2:2" x14ac:dyDescent="0.25">
      <c r="B905" s="1">
        <v>190</v>
      </c>
    </row>
    <row r="906" spans="2:2" x14ac:dyDescent="0.25">
      <c r="B906" s="1">
        <v>39</v>
      </c>
    </row>
    <row r="907" spans="2:2" x14ac:dyDescent="0.25">
      <c r="B907" s="1">
        <v>693</v>
      </c>
    </row>
    <row r="908" spans="2:2" x14ac:dyDescent="0.25">
      <c r="B908" s="1">
        <v>405</v>
      </c>
    </row>
    <row r="909" spans="2:2" x14ac:dyDescent="0.25">
      <c r="B909" s="1">
        <v>316</v>
      </c>
    </row>
    <row r="910" spans="2:2" x14ac:dyDescent="0.25">
      <c r="B910" s="1">
        <v>340</v>
      </c>
    </row>
    <row r="911" spans="2:2" x14ac:dyDescent="0.25">
      <c r="B911" s="1">
        <v>671</v>
      </c>
    </row>
    <row r="912" spans="2:2" x14ac:dyDescent="0.25">
      <c r="B912" s="1">
        <v>925</v>
      </c>
    </row>
    <row r="913" spans="2:2" x14ac:dyDescent="0.25">
      <c r="B913" s="1">
        <v>795</v>
      </c>
    </row>
    <row r="914" spans="2:2" x14ac:dyDescent="0.25">
      <c r="B914" s="1">
        <v>772</v>
      </c>
    </row>
    <row r="915" spans="2:2" x14ac:dyDescent="0.25">
      <c r="B915" s="1">
        <v>245</v>
      </c>
    </row>
    <row r="916" spans="2:2" x14ac:dyDescent="0.25">
      <c r="B916" s="1">
        <v>692</v>
      </c>
    </row>
    <row r="917" spans="2:2" x14ac:dyDescent="0.25">
      <c r="B917" s="1">
        <v>479</v>
      </c>
    </row>
    <row r="918" spans="2:2" x14ac:dyDescent="0.25">
      <c r="B918" s="1">
        <v>823</v>
      </c>
    </row>
    <row r="919" spans="2:2" x14ac:dyDescent="0.25">
      <c r="B919" s="1">
        <v>23</v>
      </c>
    </row>
    <row r="920" spans="2:2" x14ac:dyDescent="0.25">
      <c r="B920" s="1">
        <v>61</v>
      </c>
    </row>
    <row r="921" spans="2:2" x14ac:dyDescent="0.25">
      <c r="B921" s="1">
        <v>207</v>
      </c>
    </row>
    <row r="922" spans="2:2" x14ac:dyDescent="0.25">
      <c r="B922" s="1">
        <v>998</v>
      </c>
    </row>
    <row r="923" spans="2:2" x14ac:dyDescent="0.25">
      <c r="B923" s="1">
        <v>823</v>
      </c>
    </row>
    <row r="924" spans="2:2" x14ac:dyDescent="0.25">
      <c r="B924" s="1">
        <v>618</v>
      </c>
    </row>
    <row r="925" spans="2:2" x14ac:dyDescent="0.25">
      <c r="B925" s="1">
        <v>390</v>
      </c>
    </row>
    <row r="926" spans="2:2" x14ac:dyDescent="0.25">
      <c r="B926" s="1">
        <v>578</v>
      </c>
    </row>
    <row r="927" spans="2:2" x14ac:dyDescent="0.25">
      <c r="B927" s="1">
        <v>30</v>
      </c>
    </row>
    <row r="928" spans="2:2" x14ac:dyDescent="0.25">
      <c r="B928" s="1">
        <v>94</v>
      </c>
    </row>
    <row r="929" spans="2:2" x14ac:dyDescent="0.25">
      <c r="B929" s="1">
        <v>259</v>
      </c>
    </row>
    <row r="930" spans="2:2" x14ac:dyDescent="0.25">
      <c r="B930" s="1">
        <v>357</v>
      </c>
    </row>
    <row r="931" spans="2:2" x14ac:dyDescent="0.25">
      <c r="B931" s="1">
        <v>622</v>
      </c>
    </row>
    <row r="932" spans="2:2" x14ac:dyDescent="0.25">
      <c r="B932" s="1">
        <v>619</v>
      </c>
    </row>
    <row r="933" spans="2:2" x14ac:dyDescent="0.25">
      <c r="B933" s="1">
        <v>413</v>
      </c>
    </row>
    <row r="934" spans="2:2" x14ac:dyDescent="0.25">
      <c r="B934" s="1">
        <v>975</v>
      </c>
    </row>
    <row r="935" spans="2:2" x14ac:dyDescent="0.25">
      <c r="B935" s="1">
        <v>269</v>
      </c>
    </row>
    <row r="936" spans="2:2" x14ac:dyDescent="0.25">
      <c r="B936" s="1">
        <v>386</v>
      </c>
    </row>
    <row r="937" spans="2:2" x14ac:dyDescent="0.25">
      <c r="B937" s="1">
        <v>411</v>
      </c>
    </row>
    <row r="938" spans="2:2" x14ac:dyDescent="0.25">
      <c r="B938" s="1">
        <v>773</v>
      </c>
    </row>
    <row r="939" spans="2:2" x14ac:dyDescent="0.25">
      <c r="B939" s="1">
        <v>374</v>
      </c>
    </row>
    <row r="940" spans="2:2" x14ac:dyDescent="0.25">
      <c r="B940" s="1">
        <v>225</v>
      </c>
    </row>
    <row r="941" spans="2:2" x14ac:dyDescent="0.25">
      <c r="B941" s="1">
        <v>360</v>
      </c>
    </row>
    <row r="942" spans="2:2" x14ac:dyDescent="0.25">
      <c r="B942" s="1">
        <v>4</v>
      </c>
    </row>
    <row r="943" spans="2:2" x14ac:dyDescent="0.25">
      <c r="B943" s="1">
        <v>32</v>
      </c>
    </row>
    <row r="944" spans="2:2" x14ac:dyDescent="0.25">
      <c r="B944" s="1">
        <v>535</v>
      </c>
    </row>
    <row r="945" spans="2:2" x14ac:dyDescent="0.25">
      <c r="B945" s="1">
        <v>526</v>
      </c>
    </row>
    <row r="946" spans="2:2" x14ac:dyDescent="0.25">
      <c r="B946" s="1">
        <v>157</v>
      </c>
    </row>
    <row r="947" spans="2:2" x14ac:dyDescent="0.25">
      <c r="B947" s="1">
        <v>902</v>
      </c>
    </row>
    <row r="948" spans="2:2" x14ac:dyDescent="0.25">
      <c r="B948" s="1">
        <v>491</v>
      </c>
    </row>
    <row r="949" spans="2:2" x14ac:dyDescent="0.25">
      <c r="B949" s="1">
        <v>235</v>
      </c>
    </row>
    <row r="950" spans="2:2" x14ac:dyDescent="0.25">
      <c r="B950" s="1">
        <v>690</v>
      </c>
    </row>
    <row r="951" spans="2:2" x14ac:dyDescent="0.25">
      <c r="B951" s="1">
        <v>319</v>
      </c>
    </row>
    <row r="952" spans="2:2" x14ac:dyDescent="0.25">
      <c r="B952" s="1">
        <v>773</v>
      </c>
    </row>
    <row r="953" spans="2:2" x14ac:dyDescent="0.25">
      <c r="B953" s="1">
        <v>771</v>
      </c>
    </row>
    <row r="954" spans="2:2" x14ac:dyDescent="0.25">
      <c r="B954" s="1">
        <v>86</v>
      </c>
    </row>
    <row r="955" spans="2:2" x14ac:dyDescent="0.25">
      <c r="B955" s="1">
        <v>200</v>
      </c>
    </row>
    <row r="956" spans="2:2" x14ac:dyDescent="0.25">
      <c r="B956" s="1">
        <v>942</v>
      </c>
    </row>
    <row r="957" spans="2:2" x14ac:dyDescent="0.25">
      <c r="B957" s="1">
        <v>696</v>
      </c>
    </row>
    <row r="958" spans="2:2" x14ac:dyDescent="0.25">
      <c r="B958" s="1">
        <v>700</v>
      </c>
    </row>
    <row r="959" spans="2:2" x14ac:dyDescent="0.25">
      <c r="B959" s="1">
        <v>184</v>
      </c>
    </row>
    <row r="960" spans="2:2" x14ac:dyDescent="0.25">
      <c r="B960" s="1">
        <v>627</v>
      </c>
    </row>
    <row r="961" spans="2:2" x14ac:dyDescent="0.25">
      <c r="B961" s="1">
        <v>456</v>
      </c>
    </row>
    <row r="962" spans="2:2" x14ac:dyDescent="0.25">
      <c r="B962" s="1">
        <v>323</v>
      </c>
    </row>
    <row r="963" spans="2:2" x14ac:dyDescent="0.25">
      <c r="B963" s="1">
        <v>283</v>
      </c>
    </row>
    <row r="964" spans="2:2" x14ac:dyDescent="0.25">
      <c r="B964" s="1">
        <v>955</v>
      </c>
    </row>
    <row r="965" spans="2:2" x14ac:dyDescent="0.25">
      <c r="B965" s="1">
        <v>532</v>
      </c>
    </row>
    <row r="966" spans="2:2" x14ac:dyDescent="0.25">
      <c r="B966" s="1">
        <v>835</v>
      </c>
    </row>
    <row r="967" spans="2:2" x14ac:dyDescent="0.25">
      <c r="B967" s="1">
        <v>330</v>
      </c>
    </row>
    <row r="968" spans="2:2" x14ac:dyDescent="0.25">
      <c r="B968" s="1">
        <v>195</v>
      </c>
    </row>
    <row r="969" spans="2:2" x14ac:dyDescent="0.25">
      <c r="B969" s="1">
        <v>108</v>
      </c>
    </row>
    <row r="970" spans="2:2" x14ac:dyDescent="0.25">
      <c r="B970" s="1">
        <v>26</v>
      </c>
    </row>
    <row r="971" spans="2:2" x14ac:dyDescent="0.25">
      <c r="B971" s="1">
        <v>319</v>
      </c>
    </row>
    <row r="972" spans="2:2" x14ac:dyDescent="0.25">
      <c r="B972" s="1">
        <v>446</v>
      </c>
    </row>
    <row r="973" spans="2:2" x14ac:dyDescent="0.25">
      <c r="B973" s="1">
        <v>912</v>
      </c>
    </row>
    <row r="974" spans="2:2" x14ac:dyDescent="0.25">
      <c r="B974" s="1">
        <v>650</v>
      </c>
    </row>
    <row r="975" spans="2:2" x14ac:dyDescent="0.25">
      <c r="B975" s="1">
        <v>919</v>
      </c>
    </row>
    <row r="976" spans="2:2" x14ac:dyDescent="0.25">
      <c r="B976" s="1">
        <v>494</v>
      </c>
    </row>
    <row r="977" spans="2:2" x14ac:dyDescent="0.25">
      <c r="B977" s="1">
        <v>951</v>
      </c>
    </row>
    <row r="978" spans="2:2" x14ac:dyDescent="0.25">
      <c r="B978" s="1">
        <v>927</v>
      </c>
    </row>
    <row r="979" spans="2:2" x14ac:dyDescent="0.25">
      <c r="B979" s="1">
        <v>34</v>
      </c>
    </row>
    <row r="980" spans="2:2" x14ac:dyDescent="0.25">
      <c r="B980" s="1">
        <v>685</v>
      </c>
    </row>
    <row r="981" spans="2:2" x14ac:dyDescent="0.25">
      <c r="B981" s="1">
        <v>889</v>
      </c>
    </row>
    <row r="982" spans="2:2" x14ac:dyDescent="0.25">
      <c r="B982" s="1">
        <v>64</v>
      </c>
    </row>
    <row r="983" spans="2:2" x14ac:dyDescent="0.25">
      <c r="B983" s="1">
        <v>947</v>
      </c>
    </row>
    <row r="984" spans="2:2" x14ac:dyDescent="0.25">
      <c r="B984" s="1">
        <v>640</v>
      </c>
    </row>
    <row r="985" spans="2:2" x14ac:dyDescent="0.25">
      <c r="B985" s="1">
        <v>567</v>
      </c>
    </row>
    <row r="986" spans="2:2" x14ac:dyDescent="0.25">
      <c r="B986" s="1">
        <v>632</v>
      </c>
    </row>
    <row r="987" spans="2:2" x14ac:dyDescent="0.25">
      <c r="B987" s="1">
        <v>812</v>
      </c>
    </row>
    <row r="988" spans="2:2" x14ac:dyDescent="0.25">
      <c r="B988" s="1">
        <v>326</v>
      </c>
    </row>
    <row r="989" spans="2:2" x14ac:dyDescent="0.25">
      <c r="B989" s="1">
        <v>582</v>
      </c>
    </row>
    <row r="990" spans="2:2" x14ac:dyDescent="0.25">
      <c r="B990" s="1">
        <v>684</v>
      </c>
    </row>
    <row r="991" spans="2:2" x14ac:dyDescent="0.25">
      <c r="B991" s="1">
        <v>273</v>
      </c>
    </row>
    <row r="992" spans="2:2" x14ac:dyDescent="0.25">
      <c r="B992" s="1">
        <v>10</v>
      </c>
    </row>
    <row r="993" spans="2:2" x14ac:dyDescent="0.25">
      <c r="B993" s="1">
        <v>85</v>
      </c>
    </row>
    <row r="994" spans="2:2" x14ac:dyDescent="0.25">
      <c r="B994" s="1">
        <v>538</v>
      </c>
    </row>
    <row r="995" spans="2:2" x14ac:dyDescent="0.25">
      <c r="B995" s="1">
        <v>627</v>
      </c>
    </row>
    <row r="996" spans="2:2" x14ac:dyDescent="0.25">
      <c r="B996" s="1">
        <v>297</v>
      </c>
    </row>
    <row r="997" spans="2:2" x14ac:dyDescent="0.25">
      <c r="B997" s="1">
        <v>477</v>
      </c>
    </row>
    <row r="998" spans="2:2" x14ac:dyDescent="0.25">
      <c r="B998" s="1">
        <v>536</v>
      </c>
    </row>
    <row r="999" spans="2:2" x14ac:dyDescent="0.25">
      <c r="B999" s="1">
        <v>56</v>
      </c>
    </row>
    <row r="1000" spans="2:2" x14ac:dyDescent="0.25">
      <c r="B1000" s="1">
        <v>635</v>
      </c>
    </row>
    <row r="1001" spans="2:2" x14ac:dyDescent="0.25">
      <c r="B1001" s="1">
        <v>806</v>
      </c>
    </row>
    <row r="1002" spans="2:2" x14ac:dyDescent="0.25">
      <c r="B1002" s="1">
        <v>988</v>
      </c>
    </row>
    <row r="1003" spans="2:2" x14ac:dyDescent="0.25">
      <c r="B1003" s="1">
        <v>197</v>
      </c>
    </row>
    <row r="1004" spans="2:2" x14ac:dyDescent="0.25">
      <c r="B1004" s="1">
        <v>490</v>
      </c>
    </row>
    <row r="1005" spans="2:2" x14ac:dyDescent="0.25">
      <c r="B1005" s="1">
        <v>779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16DC-B8C3-4F26-AA32-1BE344ED05E3}">
  <sheetPr codeName="Sheet3">
    <tabColor rgb="FFDAEEF3"/>
  </sheetPr>
  <dimension ref="B2:H21"/>
  <sheetViews>
    <sheetView showGridLines="0" zoomScale="130" zoomScaleNormal="130" workbookViewId="0">
      <pane ySplit="5" topLeftCell="A6" activePane="bottomLeft" state="frozen"/>
      <selection pane="bottomLeft"/>
    </sheetView>
  </sheetViews>
  <sheetFormatPr defaultRowHeight="15" x14ac:dyDescent="0.25"/>
  <cols>
    <col min="1" max="2" width="3.7109375" customWidth="1"/>
    <col min="3" max="3" width="10.140625" customWidth="1"/>
    <col min="5" max="7" width="11.140625" customWidth="1"/>
    <col min="8" max="8" width="16.7109375" bestFit="1" customWidth="1"/>
  </cols>
  <sheetData>
    <row r="2" spans="2:8" x14ac:dyDescent="0.25">
      <c r="B2" s="22" t="s">
        <v>37</v>
      </c>
    </row>
    <row r="3" spans="2:8" ht="20.25" x14ac:dyDescent="0.3">
      <c r="B3" s="10" t="s">
        <v>4</v>
      </c>
    </row>
    <row r="4" spans="2:8" x14ac:dyDescent="0.25">
      <c r="H4" s="11" t="s">
        <v>7</v>
      </c>
    </row>
    <row r="5" spans="2:8" x14ac:dyDescent="0.25">
      <c r="C5" s="11" t="s">
        <v>0</v>
      </c>
      <c r="E5" s="11" t="s">
        <v>1</v>
      </c>
      <c r="F5" s="11" t="s">
        <v>5</v>
      </c>
      <c r="G5" s="11" t="s">
        <v>6</v>
      </c>
    </row>
    <row r="6" spans="2:8" x14ac:dyDescent="0.25">
      <c r="C6" s="25">
        <v>-5.9400000000000002E-4</v>
      </c>
      <c r="E6" s="26"/>
      <c r="F6" s="26"/>
      <c r="G6" s="26"/>
    </row>
    <row r="7" spans="2:8" x14ac:dyDescent="0.25">
      <c r="C7" s="25">
        <v>-1.4744999999999999E-2</v>
      </c>
      <c r="E7" s="26"/>
      <c r="F7" s="27"/>
      <c r="G7" s="26"/>
    </row>
    <row r="8" spans="2:8" x14ac:dyDescent="0.25">
      <c r="C8" s="25">
        <v>-3.4129999999999998E-3</v>
      </c>
      <c r="E8" s="26"/>
      <c r="F8" s="27"/>
      <c r="G8" s="26"/>
    </row>
    <row r="9" spans="2:8" x14ac:dyDescent="0.25">
      <c r="C9" s="25">
        <v>1.1073E-2</v>
      </c>
      <c r="E9" s="26"/>
      <c r="F9" s="27"/>
      <c r="G9" s="26"/>
    </row>
    <row r="10" spans="2:8" x14ac:dyDescent="0.25">
      <c r="C10" s="25">
        <v>-2.8930000000000002E-3</v>
      </c>
      <c r="E10" s="26"/>
      <c r="F10" s="27"/>
      <c r="G10" s="26"/>
    </row>
    <row r="11" spans="2:8" x14ac:dyDescent="0.25">
      <c r="C11" s="25">
        <v>2.2529999999999998E-3</v>
      </c>
      <c r="E11" s="26"/>
      <c r="F11" s="27"/>
      <c r="G11" s="26"/>
    </row>
    <row r="12" spans="2:8" x14ac:dyDescent="0.25">
      <c r="C12" s="25">
        <v>2.0483000000000001E-2</v>
      </c>
      <c r="E12" s="26"/>
      <c r="F12" s="27"/>
      <c r="G12" s="26"/>
    </row>
    <row r="13" spans="2:8" x14ac:dyDescent="0.25">
      <c r="C13" s="25">
        <v>-7.0020000000000004E-3</v>
      </c>
      <c r="E13" s="26"/>
      <c r="F13" s="27"/>
      <c r="G13" s="26"/>
    </row>
    <row r="14" spans="2:8" x14ac:dyDescent="0.25">
      <c r="C14" s="25">
        <v>1.095E-2</v>
      </c>
      <c r="E14" s="26"/>
      <c r="F14" s="27"/>
      <c r="G14" s="26"/>
    </row>
    <row r="15" spans="2:8" x14ac:dyDescent="0.25">
      <c r="C15" s="25">
        <v>-5.1700000000000001E-3</v>
      </c>
      <c r="E15" s="26"/>
      <c r="F15" s="27"/>
      <c r="G15" s="26"/>
    </row>
    <row r="17" spans="5:7" x14ac:dyDescent="0.25">
      <c r="E17" s="12" t="str">
        <f ca="1">_xlfn.IFNA(_xlfn.FORMULATEXT(E$6),"")</f>
        <v/>
      </c>
    </row>
    <row r="19" spans="5:7" x14ac:dyDescent="0.25">
      <c r="F19" s="12" t="str">
        <f ca="1">_xlfn.IFNA(_xlfn.FORMULATEXT(F$6),"")</f>
        <v/>
      </c>
    </row>
    <row r="21" spans="5:7" x14ac:dyDescent="0.25">
      <c r="G21" s="12" t="str">
        <f ca="1">_xlfn.IFNA(_xlfn.FORMULATEXT(G$6),"")</f>
        <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BCAE-E3DD-4BEF-9040-CBD3DB69F8F7}">
  <sheetPr codeName="Sheet4">
    <tabColor rgb="FFDAEEF3"/>
  </sheetPr>
  <dimension ref="B2:Q31"/>
  <sheetViews>
    <sheetView showGridLines="0" zoomScale="115" zoomScaleNormal="115" workbookViewId="0"/>
  </sheetViews>
  <sheetFormatPr defaultRowHeight="15" x14ac:dyDescent="0.25"/>
  <cols>
    <col min="1" max="2" width="3.7109375" customWidth="1"/>
    <col min="3" max="3" width="12.5703125" customWidth="1"/>
    <col min="4" max="4" width="10.5703125" bestFit="1" customWidth="1"/>
    <col min="5" max="5" width="4.42578125" customWidth="1"/>
    <col min="6" max="6" width="7.5703125" bestFit="1" customWidth="1"/>
    <col min="7" max="7" width="4.7109375" customWidth="1"/>
    <col min="8" max="10" width="11.42578125" customWidth="1"/>
    <col min="11" max="11" width="13" customWidth="1"/>
    <col min="12" max="12" width="6.85546875" bestFit="1" customWidth="1"/>
    <col min="13" max="13" width="21.5703125" customWidth="1"/>
  </cols>
  <sheetData>
    <row r="2" spans="2:17" x14ac:dyDescent="0.25">
      <c r="B2" s="22" t="s">
        <v>38</v>
      </c>
    </row>
    <row r="3" spans="2:17" ht="20.25" x14ac:dyDescent="0.3">
      <c r="B3" s="10" t="s">
        <v>25</v>
      </c>
    </row>
    <row r="4" spans="2:17" x14ac:dyDescent="0.25">
      <c r="J4" s="29" t="s">
        <v>40</v>
      </c>
      <c r="K4" s="16">
        <v>7</v>
      </c>
      <c r="L4" s="21" t="s">
        <v>33</v>
      </c>
    </row>
    <row r="5" spans="2:17" x14ac:dyDescent="0.25">
      <c r="J5" s="29" t="s">
        <v>41</v>
      </c>
      <c r="K5" s="17"/>
      <c r="L5" s="21" t="s">
        <v>34</v>
      </c>
      <c r="M5" s="12" t="str">
        <f ca="1">_xlfn.IFNA(_xlfn.FORMULATEXT(EMA_a),"")</f>
        <v/>
      </c>
    </row>
    <row r="6" spans="2:17" x14ac:dyDescent="0.25">
      <c r="J6" s="29" t="s">
        <v>42</v>
      </c>
      <c r="K6" s="13"/>
      <c r="L6" s="21" t="s">
        <v>35</v>
      </c>
      <c r="M6" s="12" t="str">
        <f ca="1">_xlfn.IFNA(_xlfn.FORMULATEXT(EMA_0),"")</f>
        <v/>
      </c>
    </row>
    <row r="7" spans="2:17" x14ac:dyDescent="0.25">
      <c r="C7" s="9" t="s">
        <v>27</v>
      </c>
    </row>
    <row r="9" spans="2:17" x14ac:dyDescent="0.25">
      <c r="C9" s="14" t="s">
        <v>28</v>
      </c>
    </row>
    <row r="10" spans="2:17" x14ac:dyDescent="0.25">
      <c r="K10" s="11" t="s">
        <v>7</v>
      </c>
    </row>
    <row r="11" spans="2:17" x14ac:dyDescent="0.25">
      <c r="C11" s="11" t="s">
        <v>11</v>
      </c>
      <c r="D11" s="11" t="s">
        <v>26</v>
      </c>
      <c r="G11" s="11" t="s">
        <v>30</v>
      </c>
      <c r="H11" s="11" t="s">
        <v>1</v>
      </c>
      <c r="I11" s="11" t="s">
        <v>5</v>
      </c>
      <c r="J11" s="11" t="s">
        <v>6</v>
      </c>
      <c r="O11" s="11" t="s">
        <v>26</v>
      </c>
      <c r="P11" s="11" t="s">
        <v>32</v>
      </c>
      <c r="Q11" s="11" t="s">
        <v>31</v>
      </c>
    </row>
    <row r="12" spans="2:17" x14ac:dyDescent="0.25">
      <c r="C12" s="15">
        <v>45922</v>
      </c>
      <c r="D12" s="3">
        <v>100</v>
      </c>
      <c r="G12" s="18"/>
      <c r="H12" s="13"/>
      <c r="I12" s="13"/>
      <c r="J12" s="13"/>
      <c r="O12" s="19">
        <f>EMA[[#This Row],[Sales]]</f>
        <v>100</v>
      </c>
      <c r="P12" s="19">
        <f>H12</f>
        <v>0</v>
      </c>
      <c r="Q12" s="13">
        <f>AVERAGE(_xlfn.TAKE(O$12:O12,-EMA_N))</f>
        <v>100</v>
      </c>
    </row>
    <row r="13" spans="2:17" x14ac:dyDescent="0.25">
      <c r="C13" s="15">
        <v>45923</v>
      </c>
      <c r="D13" s="3">
        <v>140</v>
      </c>
      <c r="G13" s="18"/>
      <c r="H13" s="13"/>
      <c r="I13" s="2"/>
      <c r="J13" s="13"/>
      <c r="O13" s="19">
        <f>EMA[[#This Row],[Sales]]</f>
        <v>140</v>
      </c>
      <c r="P13" s="19">
        <f t="shared" ref="P13:P25" si="0">H13</f>
        <v>0</v>
      </c>
      <c r="Q13" s="13">
        <f>AVERAGE(_xlfn.TAKE(O$12:O13,-EMA_N))</f>
        <v>120</v>
      </c>
    </row>
    <row r="14" spans="2:17" x14ac:dyDescent="0.25">
      <c r="C14" s="15">
        <v>45924</v>
      </c>
      <c r="D14" s="3">
        <v>90</v>
      </c>
      <c r="G14" s="18"/>
      <c r="H14" s="13"/>
      <c r="I14" s="2"/>
      <c r="J14" s="13"/>
      <c r="O14" s="19">
        <f>EMA[[#This Row],[Sales]]</f>
        <v>90</v>
      </c>
      <c r="P14" s="19">
        <f t="shared" si="0"/>
        <v>0</v>
      </c>
      <c r="Q14" s="13">
        <f>AVERAGE(_xlfn.TAKE(O$12:O14,-EMA_N))</f>
        <v>110</v>
      </c>
    </row>
    <row r="15" spans="2:17" x14ac:dyDescent="0.25">
      <c r="C15" s="15">
        <v>45925</v>
      </c>
      <c r="D15" s="3">
        <v>130</v>
      </c>
      <c r="G15" s="18"/>
      <c r="H15" s="13"/>
      <c r="I15" s="2"/>
      <c r="J15" s="13"/>
      <c r="O15" s="19">
        <f>EMA[[#This Row],[Sales]]</f>
        <v>130</v>
      </c>
      <c r="P15" s="19">
        <f t="shared" si="0"/>
        <v>0</v>
      </c>
      <c r="Q15" s="13">
        <f>AVERAGE(_xlfn.TAKE(O$12:O15,-EMA_N))</f>
        <v>115</v>
      </c>
    </row>
    <row r="16" spans="2:17" x14ac:dyDescent="0.25">
      <c r="C16" s="15">
        <v>45926</v>
      </c>
      <c r="D16" s="3">
        <v>190</v>
      </c>
      <c r="G16" s="18"/>
      <c r="H16" s="13"/>
      <c r="I16" s="2"/>
      <c r="J16" s="13"/>
      <c r="O16" s="19">
        <f>EMA[[#This Row],[Sales]]</f>
        <v>190</v>
      </c>
      <c r="P16" s="19">
        <f t="shared" si="0"/>
        <v>0</v>
      </c>
      <c r="Q16" s="13">
        <f>AVERAGE(_xlfn.TAKE(O$12:O16,-EMA_N))</f>
        <v>130</v>
      </c>
    </row>
    <row r="17" spans="3:17" x14ac:dyDescent="0.25">
      <c r="C17" s="15">
        <v>45927</v>
      </c>
      <c r="D17" s="3">
        <v>210</v>
      </c>
      <c r="G17" s="18"/>
      <c r="H17" s="13"/>
      <c r="I17" s="2"/>
      <c r="J17" s="13"/>
      <c r="O17" s="19">
        <f>EMA[[#This Row],[Sales]]</f>
        <v>210</v>
      </c>
      <c r="P17" s="19">
        <f t="shared" si="0"/>
        <v>0</v>
      </c>
      <c r="Q17" s="13">
        <f>AVERAGE(_xlfn.TAKE(O$12:O17,-EMA_N))</f>
        <v>143.33333333333334</v>
      </c>
    </row>
    <row r="18" spans="3:17" x14ac:dyDescent="0.25">
      <c r="C18" s="15">
        <v>45928</v>
      </c>
      <c r="D18" s="3">
        <v>250</v>
      </c>
      <c r="G18" s="18"/>
      <c r="H18" s="13"/>
      <c r="I18" s="2"/>
      <c r="J18" s="13"/>
      <c r="O18" s="19">
        <f>EMA[[#This Row],[Sales]]</f>
        <v>250</v>
      </c>
      <c r="P18" s="19">
        <f t="shared" si="0"/>
        <v>0</v>
      </c>
      <c r="Q18" s="13">
        <f>AVERAGE(_xlfn.TAKE(O$12:O18,-EMA_N))</f>
        <v>158.57142857142858</v>
      </c>
    </row>
    <row r="19" spans="3:17" x14ac:dyDescent="0.25">
      <c r="C19" s="15">
        <v>45929</v>
      </c>
      <c r="D19" s="3">
        <v>150</v>
      </c>
      <c r="G19" s="18"/>
      <c r="H19" s="13"/>
      <c r="I19" s="2"/>
      <c r="J19" s="13"/>
      <c r="O19" s="19">
        <f>EMA[[#This Row],[Sales]]</f>
        <v>150</v>
      </c>
      <c r="P19" s="19">
        <f t="shared" si="0"/>
        <v>0</v>
      </c>
      <c r="Q19" s="13">
        <f>AVERAGE(_xlfn.TAKE(O$12:O19,-EMA_N))</f>
        <v>165.71428571428572</v>
      </c>
    </row>
    <row r="20" spans="3:17" x14ac:dyDescent="0.25">
      <c r="C20" s="15">
        <v>45930</v>
      </c>
      <c r="D20" s="3">
        <v>80</v>
      </c>
      <c r="G20" s="18"/>
      <c r="H20" s="13"/>
      <c r="I20" s="2"/>
      <c r="J20" s="13"/>
      <c r="O20" s="19">
        <f>EMA[[#This Row],[Sales]]</f>
        <v>80</v>
      </c>
      <c r="P20" s="19">
        <f t="shared" si="0"/>
        <v>0</v>
      </c>
      <c r="Q20" s="13">
        <f>AVERAGE(_xlfn.TAKE(O$12:O20,-EMA_N))</f>
        <v>157.14285714285714</v>
      </c>
    </row>
    <row r="21" spans="3:17" x14ac:dyDescent="0.25">
      <c r="C21" s="15">
        <v>45931</v>
      </c>
      <c r="D21" s="3">
        <v>120</v>
      </c>
      <c r="G21" s="18"/>
      <c r="H21" s="13"/>
      <c r="I21" s="2"/>
      <c r="J21" s="13"/>
      <c r="O21" s="19">
        <f>EMA[[#This Row],[Sales]]</f>
        <v>120</v>
      </c>
      <c r="P21" s="19">
        <f t="shared" si="0"/>
        <v>0</v>
      </c>
      <c r="Q21" s="13">
        <f>AVERAGE(_xlfn.TAKE(O$12:O21,-EMA_N))</f>
        <v>161.42857142857142</v>
      </c>
    </row>
    <row r="22" spans="3:17" x14ac:dyDescent="0.25">
      <c r="C22" s="15">
        <v>45932</v>
      </c>
      <c r="D22" s="3">
        <v>110</v>
      </c>
      <c r="G22" s="18"/>
      <c r="H22" s="13"/>
      <c r="I22" s="2"/>
      <c r="J22" s="13"/>
      <c r="O22" s="19">
        <f>EMA[[#This Row],[Sales]]</f>
        <v>110</v>
      </c>
      <c r="P22" s="19">
        <f t="shared" si="0"/>
        <v>0</v>
      </c>
      <c r="Q22" s="13">
        <f>AVERAGE(_xlfn.TAKE(O$12:O22,-EMA_N))</f>
        <v>158.57142857142858</v>
      </c>
    </row>
    <row r="23" spans="3:17" x14ac:dyDescent="0.25">
      <c r="C23" s="15">
        <v>45933</v>
      </c>
      <c r="D23" s="3">
        <v>180</v>
      </c>
      <c r="G23" s="18"/>
      <c r="H23" s="13"/>
      <c r="I23" s="2"/>
      <c r="J23" s="13"/>
      <c r="O23" s="19">
        <f>EMA[[#This Row],[Sales]]</f>
        <v>180</v>
      </c>
      <c r="P23" s="19">
        <f t="shared" si="0"/>
        <v>0</v>
      </c>
      <c r="Q23" s="13">
        <f>AVERAGE(_xlfn.TAKE(O$12:O23,-EMA_N))</f>
        <v>157.14285714285714</v>
      </c>
    </row>
    <row r="24" spans="3:17" x14ac:dyDescent="0.25">
      <c r="C24" s="15">
        <v>45934</v>
      </c>
      <c r="D24" s="3">
        <v>230</v>
      </c>
      <c r="G24" s="18"/>
      <c r="H24" s="13"/>
      <c r="I24" s="2"/>
      <c r="J24" s="13"/>
      <c r="O24" s="19">
        <f>EMA[[#This Row],[Sales]]</f>
        <v>230</v>
      </c>
      <c r="P24" s="19">
        <f t="shared" si="0"/>
        <v>0</v>
      </c>
      <c r="Q24" s="13">
        <f>AVERAGE(_xlfn.TAKE(O$12:O24,-EMA_N))</f>
        <v>160</v>
      </c>
    </row>
    <row r="25" spans="3:17" x14ac:dyDescent="0.25">
      <c r="C25" s="15">
        <v>45935</v>
      </c>
      <c r="D25" s="3">
        <v>200</v>
      </c>
      <c r="G25" s="18"/>
      <c r="H25" s="13"/>
      <c r="I25" s="2"/>
      <c r="J25" s="13"/>
      <c r="O25" s="19">
        <f>EMA[[#This Row],[Sales]]</f>
        <v>200</v>
      </c>
      <c r="P25" s="19">
        <f t="shared" si="0"/>
        <v>0</v>
      </c>
      <c r="Q25" s="13">
        <f>AVERAGE(_xlfn.TAKE(O$12:O25,-EMA_N))</f>
        <v>152.85714285714286</v>
      </c>
    </row>
    <row r="27" spans="3:17" x14ac:dyDescent="0.25">
      <c r="H27" s="12" t="str">
        <f ca="1">_xlfn.IFNA(_xlfn.FORMULATEXT(H$12),"")</f>
        <v/>
      </c>
    </row>
    <row r="29" spans="3:17" x14ac:dyDescent="0.25">
      <c r="I29" s="12" t="str">
        <f ca="1">_xlfn.IFNA(_xlfn.FORMULATEXT(I$12),"")</f>
        <v/>
      </c>
    </row>
    <row r="31" spans="3:17" x14ac:dyDescent="0.25">
      <c r="J31" s="12" t="str">
        <f ca="1">_xlfn.IFNA(_xlfn.FORMULATEXT(J$12),"")</f>
        <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1131-A6A3-421C-899F-564BD78DE556}">
  <sheetPr codeName="Sheet5">
    <tabColor rgb="FFDAEEF3"/>
  </sheetPr>
  <dimension ref="B2:H23"/>
  <sheetViews>
    <sheetView showGridLines="0" zoomScale="145" zoomScaleNormal="145" workbookViewId="0">
      <pane ySplit="8" topLeftCell="A9" activePane="bottomLeft" state="frozen"/>
      <selection pane="bottomLeft"/>
    </sheetView>
  </sheetViews>
  <sheetFormatPr defaultRowHeight="15" x14ac:dyDescent="0.25"/>
  <cols>
    <col min="1" max="2" width="3.7109375" customWidth="1"/>
    <col min="3" max="3" width="15.85546875" bestFit="1" customWidth="1"/>
    <col min="5" max="5" width="9.140625" customWidth="1"/>
    <col min="6" max="7" width="10.5703125" customWidth="1"/>
    <col min="8" max="8" width="12" customWidth="1"/>
  </cols>
  <sheetData>
    <row r="2" spans="2:8" x14ac:dyDescent="0.25">
      <c r="B2" s="22" t="s">
        <v>39</v>
      </c>
    </row>
    <row r="3" spans="2:8" ht="20.25" x14ac:dyDescent="0.3">
      <c r="B3" s="10" t="s">
        <v>29</v>
      </c>
    </row>
    <row r="5" spans="2:8" x14ac:dyDescent="0.25">
      <c r="C5" t="s">
        <v>13</v>
      </c>
      <c r="D5" s="4">
        <v>4</v>
      </c>
    </row>
    <row r="6" spans="2:8" x14ac:dyDescent="0.25">
      <c r="C6" t="s">
        <v>12</v>
      </c>
      <c r="D6" s="4">
        <f>ROWS(C15:C20)</f>
        <v>6</v>
      </c>
    </row>
    <row r="8" spans="2:8" x14ac:dyDescent="0.25">
      <c r="C8" s="11" t="s">
        <v>11</v>
      </c>
      <c r="D8" s="11" t="s">
        <v>0</v>
      </c>
      <c r="F8" s="20" t="s">
        <v>5</v>
      </c>
      <c r="G8" s="20"/>
      <c r="H8" s="20" t="s">
        <v>7</v>
      </c>
    </row>
    <row r="9" spans="2:8" x14ac:dyDescent="0.25">
      <c r="C9" s="5">
        <v>45658</v>
      </c>
      <c r="D9" s="3">
        <v>100</v>
      </c>
      <c r="F9" s="34"/>
    </row>
    <row r="10" spans="2:8" x14ac:dyDescent="0.25">
      <c r="C10" s="5">
        <v>45689</v>
      </c>
      <c r="D10" s="3">
        <v>200</v>
      </c>
      <c r="F10" s="34"/>
    </row>
    <row r="11" spans="2:8" x14ac:dyDescent="0.25">
      <c r="C11" s="5">
        <v>45717</v>
      </c>
      <c r="D11" s="3">
        <v>300</v>
      </c>
      <c r="F11" s="34"/>
    </row>
    <row r="12" spans="2:8" x14ac:dyDescent="0.25">
      <c r="C12" s="5">
        <v>45748</v>
      </c>
      <c r="D12" s="3">
        <v>400</v>
      </c>
      <c r="F12" s="34"/>
    </row>
    <row r="13" spans="2:8" x14ac:dyDescent="0.25">
      <c r="C13" s="5">
        <v>45778</v>
      </c>
      <c r="D13" s="3">
        <v>500</v>
      </c>
      <c r="F13" s="34"/>
    </row>
    <row r="14" spans="2:8" x14ac:dyDescent="0.25">
      <c r="C14" s="5">
        <v>45809</v>
      </c>
      <c r="D14" s="3">
        <v>600</v>
      </c>
      <c r="F14" s="34"/>
      <c r="G14" s="19"/>
    </row>
    <row r="15" spans="2:8" x14ac:dyDescent="0.25">
      <c r="C15" s="32"/>
      <c r="D15" s="33"/>
      <c r="F15" s="32"/>
      <c r="G15" s="13"/>
    </row>
    <row r="16" spans="2:8" x14ac:dyDescent="0.25">
      <c r="C16" s="32"/>
      <c r="D16" s="33"/>
      <c r="F16" s="30"/>
      <c r="G16" s="31"/>
    </row>
    <row r="17" spans="3:7" x14ac:dyDescent="0.25">
      <c r="C17" s="32"/>
      <c r="D17" s="33"/>
      <c r="F17" s="30"/>
      <c r="G17" s="31"/>
    </row>
    <row r="18" spans="3:7" x14ac:dyDescent="0.25">
      <c r="C18" s="32"/>
      <c r="D18" s="33"/>
      <c r="F18" s="30"/>
      <c r="G18" s="31"/>
    </row>
    <row r="19" spans="3:7" x14ac:dyDescent="0.25">
      <c r="C19" s="32"/>
      <c r="D19" s="33"/>
      <c r="F19" s="30"/>
      <c r="G19" s="31"/>
    </row>
    <row r="20" spans="3:7" x14ac:dyDescent="0.25">
      <c r="C20" s="32"/>
      <c r="D20" s="33"/>
      <c r="F20" s="30"/>
      <c r="G20" s="31"/>
    </row>
    <row r="22" spans="3:7" x14ac:dyDescent="0.25">
      <c r="C22" s="12" t="str">
        <f ca="1">_xlfn.IFNA(_xlfn.FORMULATEXT(C$15),"")</f>
        <v/>
      </c>
      <c r="F22" s="12" t="str">
        <f ca="1">_xlfn.IFNA(_xlfn.FORMULATEXT(F$15),"")</f>
        <v/>
      </c>
    </row>
    <row r="23" spans="3:7" x14ac:dyDescent="0.25">
      <c r="D23" s="12" t="str">
        <f ca="1">_xlfn.IFNA(_xlfn.FORMULATEXT(D$15),"")</f>
        <v/>
      </c>
      <c r="G23" s="12" t="str">
        <f ca="1">_xlfn.IFNA(_xlfn.FORMULATEXT(G$15),"")</f>
        <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15FE75ECA439A049B41314814B7E4B57" ma:contentTypeVersion="19" ma:contentTypeDescription="Create a new document." ma:contentTypeScope="" ma:versionID="e67f3b247dd811f116325cb79bd32355">
  <xsd:schema xmlns:xsd="http://www.w3.org/2001/XMLSchema" xmlns:xs="http://www.w3.org/2001/XMLSchema" xmlns:p="http://schemas.microsoft.com/office/2006/metadata/properties" xmlns:ns2="ff58d06b-05e3-4c65-85ba-22cd93c7683f" xmlns:ns3="ac914b5e-6dd4-4de9-b905-57df3d54023d" targetNamespace="http://schemas.microsoft.com/office/2006/metadata/properties" ma:root="true" ma:fieldsID="2e8ade43a7ea9a5ad03b9775330a245f" ns2:_="" ns3:_="">
    <xsd:import namespace="ff58d06b-05e3-4c65-85ba-22cd93c7683f"/>
    <xsd:import namespace="ac914b5e-6dd4-4de9-b905-57df3d54023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58d06b-05e3-4c65-85ba-22cd93c76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a3f6a92-6300-485e-b0cc-b70aa89c14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914b5e-6dd4-4de9-b905-57df3d54023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0b4198c-4b14-49cc-8beb-9042bcb4eee8}" ma:internalName="TaxCatchAll" ma:showField="CatchAllData" ma:web="ac914b5e-6dd4-4de9-b905-57df3d5402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lcf76f155ced4ddcb4097134ff3c332f xmlns="ff58d06b-05e3-4c65-85ba-22cd93c7683f">
      <Terms xmlns="http://schemas.microsoft.com/office/infopath/2007/PartnerControls"/>
    </lcf76f155ced4ddcb4097134ff3c332f>
    <TaxCatchAll xmlns="ac914b5e-6dd4-4de9-b905-57df3d54023d" xsi:nil="true"/>
    <SharedWithUsers xmlns="ac914b5e-6dd4-4de9-b905-57df3d54023d">
      <UserInfo>
        <DisplayName/>
        <AccountId xsi:nil="true"/>
        <AccountType/>
      </UserInfo>
    </SharedWithUsers>
  </documentManagement>
</p:properties>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A85712-FE12-4770-842D-15B56A7DD507}">
  <ds:schemaRefs/>
</ds:datastoreItem>
</file>

<file path=customXml/itemProps2.xml><?xml version="1.0" encoding="utf-8"?>
<ds:datastoreItem xmlns:ds="http://schemas.openxmlformats.org/officeDocument/2006/customXml" ds:itemID="{FA122899-9DFD-45CC-8722-62A7536B621F}">
  <ds:schemaRefs/>
</ds:datastoreItem>
</file>

<file path=customXml/itemProps3.xml><?xml version="1.0" encoding="utf-8"?>
<ds:datastoreItem xmlns:ds="http://schemas.openxmlformats.org/officeDocument/2006/customXml" ds:itemID="{9B9A886D-DBC4-4092-9C78-5B09D604A676}">
  <ds:schemaRefs/>
</ds:datastoreItem>
</file>

<file path=customXml/itemProps4.xml><?xml version="1.0" encoding="utf-8"?>
<ds:datastoreItem xmlns:ds="http://schemas.openxmlformats.org/officeDocument/2006/customXml" ds:itemID="{33718F2F-059E-47DE-981C-68F05F4A404B}">
  <ds:schemaRefs/>
</ds:datastoreItem>
</file>

<file path=customXml/itemProps5.xml><?xml version="1.0" encoding="utf-8"?>
<ds:datastoreItem xmlns:ds="http://schemas.openxmlformats.org/officeDocument/2006/customXml" ds:itemID="{F58D02D4-42F1-49B4-974F-051F78240519}">
  <ds:schemaRefs/>
</ds:datastoreItem>
</file>

<file path=customXml/itemProps6.xml><?xml version="1.0" encoding="utf-8"?>
<ds:datastoreItem xmlns:ds="http://schemas.openxmlformats.org/officeDocument/2006/customXml" ds:itemID="{97A91521-562A-4562-B72E-4AC901B04AE3}">
  <ds:schemaRefs/>
</ds:datastoreItem>
</file>

<file path=customXml/itemProps7.xml><?xml version="1.0" encoding="utf-8"?>
<ds:datastoreItem xmlns:ds="http://schemas.openxmlformats.org/officeDocument/2006/customXml" ds:itemID="{F8335A5F-871A-4208-B9D3-173F38F6FE44}">
  <ds:schemaRefs/>
</ds:datastoreItem>
</file>

<file path=customXml/itemProps8.xml><?xml version="1.0" encoding="utf-8"?>
<ds:datastoreItem xmlns:ds="http://schemas.openxmlformats.org/officeDocument/2006/customXml" ds:itemID="{00D5EE41-1D46-4C55-820D-75C61C4DE6E5}">
  <ds:schemaRefs>
    <ds:schemaRef ds:uri="http://schemas.microsoft.com/DataMashup"/>
  </ds:schemaRefs>
</ds:datastoreItem>
</file>

<file path=customXml/itemProps9.xml><?xml version="1.0" encoding="utf-8"?>
<ds:datastoreItem xmlns:ds="http://schemas.openxmlformats.org/officeDocument/2006/customXml" ds:itemID="{7C67739A-A52D-4E42-99A3-3595B9719D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58d06b-05e3-4c65-85ba-22cd93c7683f"/>
    <ds:schemaRef ds:uri="ac914b5e-6dd4-4de9-b905-57df3d5402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4D629782-1C67-471C-9EFF-08AC807A094A}">
  <ds:schemaRefs/>
</ds:datastoreItem>
</file>

<file path=customXml/itemProps11.xml><?xml version="1.0" encoding="utf-8"?>
<ds:datastoreItem xmlns:ds="http://schemas.openxmlformats.org/officeDocument/2006/customXml" ds:itemID="{3DD19751-763D-4576-BBED-446F7CEAADE0}">
  <ds:schemaRefs/>
</ds:datastoreItem>
</file>

<file path=customXml/itemProps12.xml><?xml version="1.0" encoding="utf-8"?>
<ds:datastoreItem xmlns:ds="http://schemas.openxmlformats.org/officeDocument/2006/customXml" ds:itemID="{7C13FCBB-1180-4078-8260-A8934AF94FAB}">
  <ds:schemaRefs/>
</ds:datastoreItem>
</file>

<file path=customXml/itemProps13.xml><?xml version="1.0" encoding="utf-8"?>
<ds:datastoreItem xmlns:ds="http://schemas.openxmlformats.org/officeDocument/2006/customXml" ds:itemID="{FF7EB572-322B-433F-960D-4BFF2E7F907A}">
  <ds:schemaRefs/>
</ds:datastoreItem>
</file>

<file path=customXml/itemProps14.xml><?xml version="1.0" encoding="utf-8"?>
<ds:datastoreItem xmlns:ds="http://schemas.openxmlformats.org/officeDocument/2006/customXml" ds:itemID="{ABE079CC-5909-4339-AFB2-591AD4A666B3}">
  <ds:schemaRefs>
    <ds:schemaRef ds:uri="http://schemas.microsoft.com/office/2006/metadata/properties"/>
    <ds:schemaRef ds:uri="http://schemas.microsoft.com/office/infopath/2007/PartnerControls"/>
    <ds:schemaRef ds:uri="ff58d06b-05e3-4c65-85ba-22cd93c7683f"/>
    <ds:schemaRef ds:uri="ac914b5e-6dd4-4de9-b905-57df3d54023d"/>
  </ds:schemaRefs>
</ds:datastoreItem>
</file>

<file path=customXml/itemProps15.xml><?xml version="1.0" encoding="utf-8"?>
<ds:datastoreItem xmlns:ds="http://schemas.openxmlformats.org/officeDocument/2006/customXml" ds:itemID="{4BFFEDBC-BE0F-41B9-8228-961150494774}">
  <ds:schemaRefs/>
</ds:datastoreItem>
</file>

<file path=customXml/itemProps16.xml><?xml version="1.0" encoding="utf-8"?>
<ds:datastoreItem xmlns:ds="http://schemas.openxmlformats.org/officeDocument/2006/customXml" ds:itemID="{83E9CA06-131A-41AF-8705-DE5AB55C292C}">
  <ds:schemaRefs/>
</ds:datastoreItem>
</file>

<file path=customXml/itemProps17.xml><?xml version="1.0" encoding="utf-8"?>
<ds:datastoreItem xmlns:ds="http://schemas.openxmlformats.org/officeDocument/2006/customXml" ds:itemID="{A780BB75-92B0-4EBE-93DC-6A69BE4D402D}">
  <ds:schemaRefs/>
</ds:datastoreItem>
</file>

<file path=customXml/itemProps18.xml><?xml version="1.0" encoding="utf-8"?>
<ds:datastoreItem xmlns:ds="http://schemas.openxmlformats.org/officeDocument/2006/customXml" ds:itemID="{2B916725-6FE6-4714-8747-AB3D24DEF9D8}">
  <ds:schemaRefs/>
</ds:datastoreItem>
</file>

<file path=customXml/itemProps19.xml><?xml version="1.0" encoding="utf-8"?>
<ds:datastoreItem xmlns:ds="http://schemas.openxmlformats.org/officeDocument/2006/customXml" ds:itemID="{39FFC950-5652-4419-A178-6728F11BA48B}">
  <ds:schemaRefs/>
</ds:datastoreItem>
</file>

<file path=customXml/itemProps20.xml><?xml version="1.0" encoding="utf-8"?>
<ds:datastoreItem xmlns:ds="http://schemas.openxmlformats.org/officeDocument/2006/customXml" ds:itemID="{D451A36D-C720-4466-A1F5-4A06DAC526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Cover</vt:lpstr>
      <vt:lpstr>1. RT</vt:lpstr>
      <vt:lpstr>2. Cumulative %</vt:lpstr>
      <vt:lpstr>3. EMA</vt:lpstr>
      <vt:lpstr>4. SMA Forecast</vt:lpstr>
      <vt:lpstr>EMA_0</vt:lpstr>
      <vt:lpstr>EMA_a</vt:lpstr>
      <vt:lpstr>EMA_N</vt:lpstr>
      <vt:lpstr>MovAvg_Fcst</vt:lpstr>
      <vt:lpstr>MovAvg_Window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Talia Cao</dc:creator>
  <cp:lastModifiedBy>Talia Cao</cp:lastModifiedBy>
  <dcterms:created xsi:type="dcterms:W3CDTF">2025-02-16T22:01:23Z</dcterms:created>
  <dcterms:modified xsi:type="dcterms:W3CDTF">2025-09-10T06:59:04Z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0x01010015FE75ECA439A049B41314814B7E4B57</vt:lpwstr>
  </property>
  <property fmtid="{D5CDD505-2E9C-101B-9397-08002B2CF9AE}" pid="3" name="MediaServiceImageTags">
    <vt:lpwstr/>
  </property>
</Properties>
</file>